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640826f76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8ddfb8d865ea49b0"/>
    <x:sheet xmlns:r="http://schemas.openxmlformats.org/officeDocument/2006/relationships" name="01_改訂履歴" sheetId="2" r:id="R16899dbaa53a4a2b"/>
    <x:sheet xmlns:r="http://schemas.openxmlformats.org/officeDocument/2006/relationships" name="41_詳細設計成果物" sheetId="42" r:id="Rbe34bd07c23b4427"/>
    <x:sheet xmlns:r="http://schemas.openxmlformats.org/officeDocument/2006/relationships" name="42_Reviewチェック" sheetId="43" r:id="R40363c5697524eb4"/>
    <x:sheet xmlns:r="http://schemas.openxmlformats.org/officeDocument/2006/relationships" name="43_Codingチェック" sheetId="44" r:id="R9410cbf0c6c94c08"/>
    <x:sheet xmlns:r="http://schemas.openxmlformats.org/officeDocument/2006/relationships" name="44_単体テスト証跡" sheetId="45" r:id="R5484e41486134346"/>
    <x:sheet xmlns:r="http://schemas.openxmlformats.org/officeDocument/2006/relationships" name="45_レビュー記録" sheetId="46" r:id="R62148e7b6eb04a58"/>
    <x:sheet xmlns:r="http://schemas.openxmlformats.org/officeDocument/2006/relationships" name="46_受入条件" sheetId="47" r:id="Rd0f311727c084660"/>
    <x:sheet xmlns:r="http://schemas.openxmlformats.org/officeDocument/2006/relationships" name="47_設計注意事項" sheetId="48" r:id="R1cb1e615cfb645d0"/>
    <x:sheet xmlns:r="http://schemas.openxmlformats.org/officeDocument/2006/relationships" name="48_基本設計完了判定" sheetId="49" r:id="Rf18c643f49bc4540"/>
    <x:sheet xmlns:r="http://schemas.openxmlformats.org/officeDocument/2006/relationships" name="49_結合テスト方針" sheetId="50" r:id="Rd3638f92e287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horizontal="center"/>
    </x:xf>
    <x:xf numFmtId="0" fontId="15" fillId="16" borderId="0" xfId="0" applyNumberFormat="1" applyFont="1" applyFill="1" applyBorder="1" applyAlignment="1">
      <x:alignment horizontal="center" vertical="center"/>
    </x:xf>
    <x:xf numFmtId="0" fontId="13" fillId="17" borderId="1" xfId="0" applyNumberFormat="1" applyFont="1" applyFill="1" applyBorder="1"/>
    <x:xf numFmtId="0" fontId="12" fillId="17" borderId="1" xfId="0" applyNumberFormat="1" applyFont="1" applyFill="1" applyBorder="1"/>
    <x:xf numFmtId="0" fontId="11" fillId="16" borderId="0" xfId="0" applyNumberFormat="1" applyFont="1" applyFill="1" applyBorder="1"/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1" xfId="0" applyNumberFormat="1" applyFont="1" applyFill="1" applyBorder="1"/>
    <x:xf numFmtId="0" fontId="14" fillId="17" borderId="1" xfId="0" applyNumberFormat="1" applyFont="1" applyFill="1" applyBorder="1" applyAlignment="1">
      <x:alignment wrapText="1"/>
    </x:xf>
    <x:xf numFmtId="0" fontId="14" fillId="17" borderId="1" xfId="0" applyNumberFormat="1" applyFont="1" applyFill="1" applyBorder="1" applyAlignment="1">
      <x:alignment horizontal="center" wrapText="1"/>
    </x:xf>
    <x:xf numFmtId="0" fontId="14" fillId="17" borderId="1" xfId="0" applyNumberFormat="1" applyFont="1" applyFill="1" applyBorder="1" applyAlignment="1">
      <x:alignment horizontal="center" vertical="center" wrapText="1"/>
    </x:xf>
    <x:xf numFmtId="0" fontId="20" fillId="16" borderId="0" xfId="0" applyNumberFormat="1" applyFont="1" applyFill="1" applyBorder="1"/>
    <x:xf numFmtId="0" fontId="20" fillId="16" borderId="0" xfId="0" applyNumberFormat="1" applyFont="1" applyFill="1" applyBorder="1" applyAlignment="1">
      <x:alignment wrapText="1"/>
    </x:xf>
    <x:xf numFmtId="0" fontId="20" fillId="16" borderId="0" xfId="0" applyNumberFormat="1" applyFont="1" applyFill="1" applyBorder="1" applyAlignment="1">
      <x:alignment horizontal="center" wrapText="1"/>
    </x:xf>
    <x:xf numFmtId="0" fontId="20" fillId="16" borderId="0" xfId="0" applyNumberFormat="1" applyFont="1" applyFill="1" applyBorder="1" applyAlignment="1">
      <x:alignment horizontal="center" vertical="center" wrapText="1"/>
    </x:xf>
    <x:xf numFmtId="0" fontId="21" fillId="17" borderId="0" xfId="0" applyNumberFormat="1" applyFont="1" applyFill="1" applyBorder="1"/>
    <x:xf numFmtId="0" fontId="21" fillId="17" borderId="1" xfId="0" applyNumberFormat="1" applyFont="1" applyFill="1" applyBorder="1"/>
    <x:xf numFmtId="0" fontId="21" fillId="17" borderId="1" xfId="0" applyNumberFormat="1" applyFont="1" applyFill="1" applyBorder="1" applyAlignment="1">
      <x:alignment wrapText="1"/>
    </x:xf>
    <x:xf numFmtId="0" fontId="21" fillId="17" borderId="1" xfId="0" applyNumberFormat="1" applyFont="1" applyFill="1" applyBorder="1" applyAlignment="1">
      <x:alignment horizontal="center" wrapText="1"/>
    </x:xf>
    <x:xf numFmtId="0" fontId="21" fillId="17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17" borderId="1" xfId="0" applyNumberFormat="1" applyFont="1" applyFill="1" applyBorder="1" applyAlignment="1">
      <x:alignment vertical="center"/>
    </x:xf>
    <x:xf numFmtId="0" fontId="22" fillId="17" borderId="1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3" fillId="18" borderId="0" xfId="0" applyNumberFormat="1" applyFont="1" applyFill="1" applyBorder="1"/>
    <x:xf numFmtId="0" fontId="23" fillId="18" borderId="1" xfId="0" applyNumberFormat="1" applyFont="1" applyFill="1" applyBorder="1"/>
    <x:xf numFmtId="0" fontId="23" fillId="18" borderId="1" xfId="0" applyNumberFormat="1" applyFont="1" applyFill="1" applyBorder="1" applyAlignment="1">
      <x:alignment wrapText="1"/>
    </x:xf>
    <x:xf numFmtId="0" fontId="23" fillId="18" borderId="1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20" fillId="19" borderId="0" xfId="0" applyNumberFormat="1" applyFont="1" applyFill="1" applyBorder="1"/>
    <x:xf numFmtId="0" fontId="20" fillId="19" borderId="0" xfId="0" applyNumberFormat="1" applyFont="1" applyFill="1" applyBorder="1" applyAlignment="1">
      <x:alignment wrapText="1"/>
    </x:xf>
    <x:xf numFmtId="0" fontId="20" fillId="19" borderId="0" xfId="0" applyNumberFormat="1" applyFont="1" applyFill="1" applyBorder="1" applyAlignment="1">
      <x:alignment horizontal="center" wrapText="1"/>
    </x:xf>
    <x:xf numFmtId="0" fontId="20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1" xfId="0" applyNumberFormat="1" applyFont="1" applyFill="1" applyBorder="1"/>
    <x:xf numFmtId="0" fontId="21" fillId="20" borderId="1" xfId="0" applyNumberFormat="1" applyFont="1" applyFill="1" applyBorder="1" applyAlignment="1">
      <x:alignment wrapText="1"/>
    </x:xf>
    <x:xf numFmtId="0" fontId="21" fillId="20" borderId="1" xfId="0" applyNumberFormat="1" applyFont="1" applyFill="1" applyBorder="1" applyAlignment="1">
      <x:alignment horizontal="center" wrapText="1"/>
    </x:xf>
    <x:xf numFmtId="0" fontId="21" fillId="20" borderId="1" xfId="0" applyNumberFormat="1" applyFont="1" applyFill="1" applyBorder="1" applyAlignment="1">
      <x:alignment horizontal="center" vertical="center" wrapText="1"/>
    </x:xf>
    <x:xf numFmtId="0" fontId="19" fillId="20" borderId="1" xfId="0" applyNumberFormat="1" applyFont="1" applyFill="1" applyBorder="1" applyAlignment="1">
      <x:alignment vertical="center"/>
    </x:xf>
    <x:xf numFmtId="0" fontId="22" fillId="20" borderId="1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3" fillId="21" borderId="0" xfId="0" applyNumberFormat="1" applyFont="1" applyFill="1" applyBorder="1"/>
    <x:xf numFmtId="0" fontId="23" fillId="21" borderId="1" xfId="0" applyNumberFormat="1" applyFont="1" applyFill="1" applyBorder="1"/>
    <x:xf numFmtId="0" fontId="23" fillId="21" borderId="1" xfId="0" applyNumberFormat="1" applyFont="1" applyFill="1" applyBorder="1" applyAlignment="1">
      <x:alignment wrapText="1"/>
    </x:xf>
    <x:xf numFmtId="0" fontId="23" fillId="21" borderId="1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20" fillId="22" borderId="0" xfId="0" applyNumberFormat="1" applyFont="1" applyFill="1" applyBorder="1"/>
    <x:xf numFmtId="0" fontId="20" fillId="22" borderId="0" xfId="0" applyNumberFormat="1" applyFont="1" applyFill="1" applyBorder="1" applyAlignment="1">
      <x:alignment wrapText="1"/>
    </x:xf>
    <x:xf numFmtId="0" fontId="20" fillId="22" borderId="0" xfId="0" applyNumberFormat="1" applyFont="1" applyFill="1" applyBorder="1" applyAlignment="1">
      <x:alignment horizontal="center" wrapText="1"/>
    </x:xf>
    <x:xf numFmtId="0" fontId="20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1" xfId="0" applyNumberFormat="1" applyFont="1" applyFill="1" applyBorder="1"/>
    <x:xf numFmtId="0" fontId="21" fillId="23" borderId="1" xfId="0" applyNumberFormat="1" applyFont="1" applyFill="1" applyBorder="1" applyAlignment="1">
      <x:alignment wrapText="1"/>
    </x:xf>
    <x:xf numFmtId="0" fontId="21" fillId="23" borderId="1" xfId="0" applyNumberFormat="1" applyFont="1" applyFill="1" applyBorder="1" applyAlignment="1">
      <x:alignment horizontal="center" wrapText="1"/>
    </x:xf>
    <x:xf numFmtId="0" fontId="21" fillId="23" borderId="1" xfId="0" applyNumberFormat="1" applyFont="1" applyFill="1" applyBorder="1" applyAlignment="1">
      <x:alignment horizontal="center" vertical="center" wrapText="1"/>
    </x:xf>
    <x:xf numFmtId="0" fontId="19" fillId="23" borderId="1" xfId="0" applyNumberFormat="1" applyFont="1" applyFill="1" applyBorder="1" applyAlignment="1">
      <x:alignment vertical="center"/>
    </x:xf>
    <x:xf numFmtId="0" fontId="2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23" fillId="24" borderId="0" xfId="0" applyNumberFormat="1" applyFont="1" applyFill="1" applyBorder="1"/>
    <x:xf numFmtId="0" fontId="23" fillId="24" borderId="1" xfId="0" applyNumberFormat="1" applyFont="1" applyFill="1" applyBorder="1"/>
    <x:xf numFmtId="0" fontId="23" fillId="24" borderId="1" xfId="0" applyNumberFormat="1" applyFont="1" applyFill="1" applyBorder="1" applyAlignment="1">
      <x:alignment wrapText="1"/>
    </x:xf>
    <x:xf numFmtId="0" fontId="23" fillId="2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a7ace863c40ac" /><Relationship Type="http://schemas.openxmlformats.org/officeDocument/2006/relationships/theme" Target="/xl/theme/theme1.xml" Id="R22702035b5f14e0e" /><Relationship Type="http://schemas.openxmlformats.org/officeDocument/2006/relationships/sharedStrings" Target="/xl/sharedStrings.xml" Id="R1b1eb65bca89466c" /><Relationship Type="http://schemas.openxmlformats.org/officeDocument/2006/relationships/worksheet" Target="/xl/worksheets/sheet1.xml" Id="R8ddfb8d865ea49b0" /><Relationship Type="http://schemas.openxmlformats.org/officeDocument/2006/relationships/worksheet" Target="/xl/worksheets/sheet2.xml" Id="R16899dbaa53a4a2b" /><Relationship Type="http://schemas.openxmlformats.org/officeDocument/2006/relationships/worksheet" Target="/xl/worksheets/sheet3.xml" Id="Rbe34bd07c23b4427" /><Relationship Type="http://schemas.openxmlformats.org/officeDocument/2006/relationships/worksheet" Target="/xl/worksheets/sheet4.xml" Id="R40363c5697524eb4" /><Relationship Type="http://schemas.openxmlformats.org/officeDocument/2006/relationships/worksheet" Target="/xl/worksheets/sheet5.xml" Id="R9410cbf0c6c94c08" /><Relationship Type="http://schemas.openxmlformats.org/officeDocument/2006/relationships/worksheet" Target="/xl/worksheets/sheet6.xml" Id="R5484e41486134346" /><Relationship Type="http://schemas.openxmlformats.org/officeDocument/2006/relationships/worksheet" Target="/xl/worksheets/sheet7.xml" Id="R62148e7b6eb04a58" /><Relationship Type="http://schemas.openxmlformats.org/officeDocument/2006/relationships/worksheet" Target="/xl/worksheets/sheet8.xml" Id="Rd0f311727c084660" /><Relationship Type="http://schemas.openxmlformats.org/officeDocument/2006/relationships/worksheet" Target="/xl/worksheets/sheet9.xml" Id="R1cb1e615cfb645d0" /><Relationship Type="http://schemas.openxmlformats.org/officeDocument/2006/relationships/worksheet" Target="/xl/worksheets/sheet10.xml" Id="Rf18c643f49bc4540" /><Relationship Type="http://schemas.openxmlformats.org/officeDocument/2006/relationships/worksheet" Target="/xl/worksheets/sheet11.xml" Id="Rd3638f92e28747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165" t="str">
        <x:v>Company WorkHub
企業従業員・タスク管理システム</x:v>
      </x:c>
      <x:c r="C3" s="165"/>
      <x:c r="D3" s="165"/>
      <x:c r="E3" s="165"/>
      <x:c r="F3" s="165"/>
      <x:c r="G3" s="165"/>
      <x:c r="H3" s="165"/>
    </x:row>
    <x:row r="4" ht="30" customHeight="1">
      <x:c r="B4" s="165"/>
      <x:c r="C4" s="165"/>
      <x:c r="D4" s="165"/>
      <x:c r="E4" s="165"/>
      <x:c r="F4" s="165"/>
      <x:c r="G4" s="165"/>
      <x:c r="H4" s="165"/>
    </x:row>
    <x:row r="5" ht="30" customHeight="1">
      <x:c r="B5" s="165"/>
      <x:c r="C5" s="165"/>
      <x:c r="D5" s="165"/>
      <x:c r="E5" s="165"/>
      <x:c r="F5" s="165"/>
      <x:c r="G5" s="165"/>
      <x:c r="H5" s="165"/>
    </x:row>
    <x:row r="6" ht="30" customHeight="1">
      <x:c r="B6"/>
      <x:c r="C6"/>
      <x:c r="D6"/>
      <x:c r="E6"/>
      <x:c r="F6"/>
      <x:c r="G6"/>
      <x:c r="H6"/>
    </x:row>
    <x:row r="8">
      <x:c r="B8" s="171" t="str">
        <x:v>学員Reviewテスト管理</x:v>
      </x:c>
      <x:c r="C8" s="171"/>
      <x:c r="D8" s="171"/>
      <x:c r="E8" s="171"/>
      <x:c r="F8" s="171"/>
      <x:c r="G8" s="171"/>
      <x:c r="H8" s="171"/>
    </x:row>
    <x:row r="9">
      <x:c r="B9" s="171"/>
      <x:c r="C9" s="171"/>
      <x:c r="D9" s="171"/>
      <x:c r="E9" s="171"/>
      <x:c r="F9" s="171"/>
      <x:c r="G9" s="171"/>
      <x:c r="H9" s="171"/>
    </x:row>
    <x:row r="10">
      <x:c r="B10" s="171"/>
      <x:c r="C10" s="171"/>
      <x:c r="D10" s="171"/>
      <x:c r="E10" s="171"/>
      <x:c r="F10" s="171"/>
      <x:c r="G10" s="171"/>
      <x:c r="H10" s="171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173" t="str">
        <x:v>文書番号</x:v>
      </x:c>
      <x:c r="D12" s="135" t="str">
        <x:v>CW-BD-U-MGT</x:v>
      </x:c>
      <x:c r="E12" s="135"/>
      <x:c r="F12" s="135"/>
    </x:row>
    <x:row r="13">
      <x:c r="C13" s="173" t="str">
        <x:v>版数</x:v>
      </x:c>
      <x:c r="D13" s="135" t="str">
        <x:v>Ver.1.8</x:v>
      </x:c>
      <x:c r="E13" s="135"/>
      <x:c r="F13" s="135"/>
    </x:row>
    <x:row r="14">
      <x:c r="C14" s="173" t="str">
        <x:v>改訂日</x:v>
      </x:c>
      <x:c r="D14" s="135" t="str">
        <x:v>2026-08-12</x:v>
      </x:c>
      <x:c r="E14" s="135"/>
      <x:c r="F14" s="135"/>
    </x:row>
    <x:row r="15">
      <x:c r="C15" s="173" t="str">
        <x:v>作成者</x:v>
      </x:c>
      <x:c r="D15" s="135" t="str">
        <x:v>Project Leader</x:v>
      </x:c>
      <x:c r="E15" s="135"/>
      <x:c r="F15" s="135"/>
    </x:row>
    <x:row r="16">
      <x:c r="C16" s="173" t="str">
        <x:v>状態</x:v>
      </x:c>
      <x:c r="D16" s="135" t="str">
        <x:v>レビュー待ち</x:v>
      </x:c>
      <x:c r="E16" s="135"/>
      <x:c r="F16" s="135"/>
    </x:row>
    <x:row r="17">
      <x:c r="A17" t="str">
        <x:v>本書は Company WorkHub の基本設計内容を定義する。
Ver.1.8 は状態変更入口、API/DB制約、取込Transaction、日報一意制約、通知・Token保持を整合した再Review対応版である。</x:v>
      </x:c>
      <x:c r="C17"/>
      <x:c r="D17"/>
      <x:c r="E17"/>
      <x:c r="F17"/>
    </x:row>
    <x:row r="18">
      <x:c r="A18"/>
      <x:c r="C18"/>
      <x:c r="D18"/>
      <x:c r="E18"/>
      <x:c r="F18"/>
    </x:row>
    <x:row r="19">
      <x:c r="A19"/>
      <x:c r="B19" s="178" t="str">
        <x:v>本書は Company WorkHub の基本設計内容を定義する。
Ver.1.7 は状態変更入口、API/DB制約、取込Transaction、日報一意制約、通知・Token保持を整合した再Review対応版である。</x:v>
      </x:c>
      <x:c r="C19" s="178"/>
      <x:c r="D19" s="178"/>
      <x:c r="E19" s="178"/>
      <x:c r="F19" s="178"/>
      <x:c r="G19" s="178"/>
      <x:c r="H19" s="178"/>
    </x:row>
    <x:row r="20">
      <x:c r="B20" s="178"/>
      <x:c r="C20" s="178"/>
      <x:c r="D20" s="178"/>
      <x:c r="E20" s="178"/>
      <x:c r="F20" s="178"/>
      <x:c r="G20" s="178"/>
      <x:c r="H20" s="178"/>
    </x:row>
    <x:row r="21">
      <x:c r="B21" s="178"/>
      <x:c r="C21" s="178"/>
      <x:c r="D21" s="178"/>
      <x:c r="E21" s="178"/>
      <x:c r="F21" s="178"/>
      <x:c r="G21" s="178"/>
      <x:c r="H21" s="178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16" t="str">
        <x:v>改訂履歴</x:v>
      </x:c>
      <x:c r="B1" s="116"/>
      <x:c r="C1" s="116"/>
      <x:c r="D1" s="116"/>
      <x:c r="E1" s="116"/>
      <x:c r="F1" s="116"/>
      <x:c r="G1" s="116"/>
      <x:c r="H1" s="116"/>
    </x:row>
    <x:row r="2">
      <x:c r="A2" s="116"/>
      <x:c r="B2" s="116"/>
      <x:c r="C2" s="116"/>
      <x:c r="D2" s="116"/>
      <x:c r="E2" s="116"/>
      <x:c r="F2" s="116"/>
      <x:c r="G2" s="116"/>
      <x:c r="H2" s="116"/>
    </x:row>
    <x:row r="3">
      <x:c r="A3" s="118" t="str">
        <x:v>システム名</x:v>
      </x:c>
      <x:c r="B3" s="103" t="str">
        <x:v>Company WorkHub</x:v>
      </x:c>
      <x:c r="C3" s="103"/>
      <x:c r="D3" s="118" t="str">
        <x:v>文書番号</x:v>
      </x:c>
      <x:c r="E3" s="103" t="str">
        <x:v>DOCUMENT-REVISION</x:v>
      </x:c>
      <x:c r="F3" s="103"/>
      <x:c r="G3" s="103"/>
      <x:c r="H3" s="103"/>
    </x:row>
    <x:row r="4">
      <x:c r="A4" s="118" t="str">
        <x:v>版数</x:v>
      </x:c>
      <x:c r="B4" s="103" t="str">
        <x:v>Ver.1.8</x:v>
      </x:c>
      <x:c r="C4" s="103"/>
      <x:c r="D4" s="118" t="str">
        <x:v>改訂日</x:v>
      </x:c>
      <x:c r="E4" s="103" t="str">
        <x:v>2026-08-12</x:v>
      </x:c>
      <x:c r="F4" s="103"/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19" t="str">
        <x:v>1. 改訂履歴</x:v>
      </x:c>
      <x:c r="B6" s="119"/>
      <x:c r="C6" s="119"/>
      <x:c r="D6" s="119"/>
      <x:c r="E6" s="119"/>
      <x:c r="F6" s="119"/>
      <x:c r="G6" s="119"/>
      <x:c r="H6" s="119"/>
    </x:row>
    <x:row r="7">
      <x:c r="A7" s="125" t="str">
        <x:v>版数</x:v>
      </x:c>
      <x:c r="B7" s="125" t="str">
        <x:v>改訂日</x:v>
      </x:c>
      <x:c r="C7" s="125" t="str">
        <x:v>2026-08-12</x:v>
      </x:c>
      <x:c r="D7" s="125" t="str">
        <x:v>作成者</x:v>
      </x:c>
      <x:c r="E7" s="125" t="str">
        <x:v>レビュー者</x:v>
      </x:c>
      <x:c r="F7" s="125" t="str">
        <x:v>承認者</x:v>
      </x:c>
      <x:c r="G7" s="125" t="str">
        <x:v>状態</x:v>
      </x:c>
      <x:c r="H7" s="125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再監査指摘対応</x:v>
      </x:c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再監査第2回指摘対応</x:v>
      </x:c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t="str">
        <x:v>レビュー待ち</x:v>
      </x:c>
      <x:c r="H12" t="str">
        <x:v>再監査残項対応</x:v>
      </x:c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再Review指摘対応</x:v>
      </x:c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6" hidden="0" customWidth="1"/>
    <x:col min="3" max="3" width="20" hidden="0" customWidth="1"/>
    <x:col min="4" max="4" width="72" hidden="0" customWidth="1"/>
    <x:col min="5" max="5" width="16" hidden="0" customWidth="1"/>
    <x:col min="6" max="6" width="12" hidden="0" customWidth="1"/>
    <x:col min="7" max="7" width="16" hidden="0" customWidth="1"/>
    <x:col min="8" max="8" width="36" hidden="0" customWidth="1"/>
  </x:cols>
  <x:sheetData>
    <x:row r="1">
      <x:c r="A1" s="68" t="str">
        <x:v>詳細設計・Test成果物一覧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CW-EDU-001</x:v>
      </x:c>
      <x:c r="F3" s="63"/>
      <x:c r="G3" s="63"/>
      <x:c r="H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  <x:c r="H4" s="63"/>
    </x:row>
    <x:row r="5">
      <x:c r="A5" s="64"/>
      <x:c r="B5" s="64"/>
      <x:c r="C5" s="64"/>
      <x:c r="D5" s="64"/>
      <x:c r="E5" s="64"/>
      <x:c r="F5" s="64"/>
      <x:c r="G5" s="64"/>
      <x:c r="H5" s="64"/>
    </x:row>
    <x:row r="6" ht="22" customHeight="1">
      <x:c r="A6" s="65" t="str">
        <x:v>1. 提出物</x:v>
      </x:c>
      <x:c r="B6" s="65"/>
      <x:c r="C6" s="65"/>
      <x:c r="D6" s="65"/>
      <x:c r="E6" s="65"/>
      <x:c r="F6" s="65"/>
      <x:c r="G6" s="65"/>
      <x:c r="H6" s="65"/>
    </x:row>
    <x:row r="7">
      <x:c r="A7" s="66" t="str">
        <x:v>No.</x:v>
      </x:c>
      <x:c r="B7" s="66" t="str">
        <x:v>成果物File</x:v>
      </x:c>
      <x:c r="C7" s="66" t="str">
        <x:v>対象</x:v>
      </x:c>
      <x:c r="D7" s="66" t="str">
        <x:v>必須内容</x:v>
      </x:c>
      <x:c r="E7" s="66" t="str">
        <x:v>担当</x:v>
      </x:c>
      <x:c r="F7" s="66" t="str">
        <x:v>提出</x:v>
      </x:c>
      <x:c r="G7" s="66" t="str">
        <x:v>Review</x:v>
      </x:c>
      <x:c r="H7" s="66" t="str">
        <x:v>備考</x:v>
      </x:c>
    </x:row>
    <x:row r="8" ht="30" customHeight="1">
      <x:c r="A8" s="67" t="n">
        <x:v>1</x:v>
      </x:c>
      <x:c r="B8" s="67" t="str">
        <x:v>01_ログイン認証詳細設計書.xlsx</x:v>
      </x:c>
      <x:c r="C8" s="67" t="str">
        <x:v>M01</x:v>
      </x:c>
      <x:c r="D8" s="67" t="str">
        <x:v>Controller/Service/DTO/JWT/Lock/Token/SQL/Test</x:v>
      </x:c>
      <x:c r="E8" s="67" t="str">
        <x:v>D</x:v>
      </x:c>
      <x:c r="F8" s="67" t="str">
        <x:v>必須</x:v>
      </x:c>
      <x:c r="G8" s="67" t="str">
        <x:v>講師</x:v>
      </x:c>
      <x:c r="H8" s="67"/>
    </x:row>
    <x:row r="9" ht="30" customHeight="1">
      <x:c r="A9" s="67" t="n">
        <x:v>2</x:v>
      </x:c>
      <x:c r="B9" s="67" t="str">
        <x:v>02_従業員管理詳細設計書.xlsx</x:v>
      </x:c>
      <x:c r="C9" s="67" t="str">
        <x:v>M03</x:v>
      </x:c>
      <x:c r="D9" s="67" t="str">
        <x:v>画面/API/Class/トランザクション/退職/一意/Test</x:v>
      </x:c>
      <x:c r="E9" s="67" t="str">
        <x:v>A</x:v>
      </x:c>
      <x:c r="F9" s="67" t="str">
        <x:v>必須</x:v>
      </x:c>
      <x:c r="G9" s="67" t="str">
        <x:v>講師</x:v>
      </x:c>
      <x:c r="H9" s="67"/>
    </x:row>
    <x:row r="10" ht="30" customHeight="1">
      <x:c r="A10" s="67" t="n">
        <x:v>3</x:v>
      </x:c>
      <x:c r="B10" s="67" t="str">
        <x:v>03_部門管理詳細設計書.xlsx</x:v>
      </x:c>
      <x:c r="C10" s="67" t="str">
        <x:v>M04</x:v>
      </x:c>
      <x:c r="D10" s="67" t="str">
        <x:v>Tree/循環/Cache/削除/SQL/Test</x:v>
      </x:c>
      <x:c r="E10" s="67" t="str">
        <x:v>A</x:v>
      </x:c>
      <x:c r="F10" s="67" t="str">
        <x:v>必須</x:v>
      </x:c>
      <x:c r="G10" s="67" t="str">
        <x:v>講師</x:v>
      </x:c>
      <x:c r="H10" s="67"/>
    </x:row>
    <x:row r="11" ht="30" customHeight="1">
      <x:c r="A11" s="67" t="n">
        <x:v>4</x:v>
      </x:c>
      <x:c r="B11" s="67" t="str">
        <x:v>04_プロジェクト管理詳細設計書.xlsx</x:v>
      </x:c>
      <x:c r="C11" s="67" t="str">
        <x:v>M05</x:v>
      </x:c>
      <x:c r="D11" s="67" t="str">
        <x:v>PJ/Member/状態/進捗/トランザクション/Test</x:v>
      </x:c>
      <x:c r="E11" s="67" t="str">
        <x:v>B</x:v>
      </x:c>
      <x:c r="F11" s="67" t="str">
        <x:v>必須</x:v>
      </x:c>
      <x:c r="G11" s="67" t="str">
        <x:v>講師</x:v>
      </x:c>
      <x:c r="H11" s="67"/>
    </x:row>
    <x:row r="12" ht="30" customHeight="1">
      <x:c r="A12" s="67" t="n">
        <x:v>5</x:v>
      </x:c>
      <x:c r="B12" s="67" t="str">
        <x:v>05_タスク管理詳細設計書.xlsx</x:v>
      </x:c>
      <x:c r="C12" s="67" t="str">
        <x:v>M06/M09</x:v>
      </x:c>
      <x:c r="D12" s="67" t="str">
        <x:v>状態/権限/履歴/File/Lock/通知/Test</x:v>
      </x:c>
      <x:c r="E12" s="67" t="str">
        <x:v>C</x:v>
      </x:c>
      <x:c r="F12" s="67" t="str">
        <x:v>必須</x:v>
      </x:c>
      <x:c r="G12" s="67" t="str">
        <x:v>講師</x:v>
      </x:c>
      <x:c r="H12" s="67"/>
    </x:row>
    <x:row r="13" ht="30" customHeight="1">
      <x:c r="A13" s="67" t="n">
        <x:v>6</x:v>
      </x:c>
      <x:c r="B13" s="67" t="str">
        <x:v>06_日報管理詳細設計書.xlsx</x:v>
      </x:c>
      <x:c r="C13" s="67" t="str">
        <x:v>M07</x:v>
      </x:c>
      <x:c r="D13" s="67" t="str">
        <x:v>一意/権限/編集期限/SQL/Test</x:v>
      </x:c>
      <x:c r="E13" s="67" t="str">
        <x:v>E</x:v>
      </x:c>
      <x:c r="F13" s="67" t="str">
        <x:v>必須</x:v>
      </x:c>
      <x:c r="G13" s="67" t="str">
        <x:v>講師</x:v>
      </x:c>
      <x:c r="H13" s="67"/>
    </x:row>
    <x:row r="14" ht="30" customHeight="1">
      <x:c r="A14" s="67" t="n">
        <x:v>7</x:v>
      </x:c>
      <x:c r="B14" s="67" t="str">
        <x:v>07_通知管理詳細設計書.xlsx</x:v>
      </x:c>
      <x:c r="C14" s="67" t="str">
        <x:v>M08</x:v>
      </x:c>
      <x:c r="D14" s="67" t="str">
        <x:v>通知/既読/保持/Batch/Test</x:v>
      </x:c>
      <x:c r="E14" s="67" t="str">
        <x:v>E</x:v>
      </x:c>
      <x:c r="F14" s="67" t="str">
        <x:v>必須</x:v>
      </x:c>
      <x:c r="G14" s="67" t="str">
        <x:v>講師</x:v>
      </x:c>
      <x:c r="H14" s="67"/>
    </x:row>
    <x:row r="15" ht="30" customHeight="1">
      <x:c r="A15" s="67" t="n">
        <x:v>8</x:v>
      </x:c>
      <x:c r="B15" s="67" t="str">
        <x:v>08_権限管理詳細設計書.xlsx</x:v>
      </x:c>
      <x:c r="C15" s="67" t="str">
        <x:v>M10</x:v>
      </x:c>
      <x:c r="D15" s="67" t="str">
        <x:v>Role/Permission/Data範囲/Test</x:v>
      </x:c>
      <x:c r="E15" s="67" t="str">
        <x:v>D</x:v>
      </x:c>
      <x:c r="F15" s="67" t="str">
        <x:v>必須</x:v>
      </x:c>
      <x:c r="G15" s="67" t="str">
        <x:v>講師</x:v>
      </x:c>
      <x:c r="H15" s="67"/>
    </x:row>
    <x:row r="16" ht="30" customHeight="1">
      <x:c r="A16" s="67" t="n">
        <x:v>9</x:v>
      </x:c>
      <x:c r="B16" s="67" t="str">
        <x:v>09_DB詳細設計書.xlsx</x:v>
      </x:c>
      <x:c r="C16" s="67" t="str">
        <x:v>全Table</x:v>
      </x:c>
      <x:c r="D16" s="67" t="str">
        <x:v>物理名/Type/桁/PK/FK/UK/NN/Default/Index/DDL/Data</x:v>
      </x:c>
      <x:c r="E16" s="67" t="str">
        <x:v>共通</x:v>
      </x:c>
      <x:c r="F16" s="67" t="str">
        <x:v>必須</x:v>
      </x:c>
      <x:c r="G16" s="67" t="str">
        <x:v>講師</x:v>
      </x:c>
      <x:c r="H16" s="67"/>
    </x:row>
    <x:row r="17" ht="30" customHeight="1">
      <x:c r="A17" s="67" t="n">
        <x:v>10</x:v>
      </x:c>
      <x:c r="B17" s="67" t="str">
        <x:v>10_API詳細設計書.xlsx</x:v>
      </x:c>
      <x:c r="C17" s="67" t="str">
        <x:v>全API</x:v>
      </x:c>
      <x:c r="D17" s="67" t="str">
        <x:v>URL/Method/権限/参数/I-O/Check/Flow/Table/Tx/Error/Log/Test</x:v>
      </x:c>
      <x:c r="E17" s="67" t="str">
        <x:v>共通</x:v>
      </x:c>
      <x:c r="F17" s="67" t="str">
        <x:v>必須</x:v>
      </x:c>
      <x:c r="G17" s="67" t="str">
        <x:v>講師</x:v>
      </x:c>
      <x:c r="H17" s="67"/>
    </x:row>
    <x:row r="18" ht="30" customHeight="1">
      <x:c r="A18" s="67" t="n">
        <x:v>11</x:v>
      </x:c>
      <x:c r="B18" s="67" t="str">
        <x:v>11_Batch詳細設計書.xlsx</x:v>
      </x:c>
      <x:c r="C18" s="67" t="str">
        <x:v>M12</x:v>
      </x:c>
      <x:c r="D18" s="67" t="str">
        <x:v>Schedule/抽出/Lock/重複/Log/再実行/Test</x:v>
      </x:c>
      <x:c r="E18" s="67" t="str">
        <x:v>E</x:v>
      </x:c>
      <x:c r="F18" s="67" t="str">
        <x:v>必須</x:v>
      </x:c>
      <x:c r="G18" s="67" t="str">
        <x:v>講師</x:v>
      </x:c>
      <x:c r="H18" s="67"/>
    </x:row>
    <x:row r="19" ht="30" customHeight="1">
      <x:c r="A19" s="67" t="n">
        <x:v>12</x:v>
      </x:c>
      <x:c r="B19" s="67" t="str">
        <x:v>12_例外処理詳細設計書.xlsx</x:v>
      </x:c>
      <x:c r="C19" s="67" t="str">
        <x:v>共通</x:v>
      </x:c>
      <x:c r="D19" s="67" t="str">
        <x:v>Exception Class/変換/HTTP/Code/Log/Test</x:v>
      </x:c>
      <x:c r="E19" s="67" t="str">
        <x:v>共通</x:v>
      </x:c>
      <x:c r="F19" s="67" t="str">
        <x:v>必須</x:v>
      </x:c>
      <x:c r="G19" s="67" t="str">
        <x:v>講師</x:v>
      </x:c>
      <x:c r="H19" s="67"/>
    </x:row>
    <x:row r="20" ht="30" customHeight="1">
      <x:c r="A20" s="67" t="n">
        <x:v>13</x:v>
      </x:c>
      <x:c r="B20" s="67" t="str">
        <x:v>13_Front画面詳細設計書.xlsx</x:v>
      </x:c>
      <x:c r="C20" s="67" t="str">
        <x:v>全画面</x:v>
      </x:c>
      <x:c r="D20" s="67" t="str">
        <x:v>Component/Props/State/Form/Validation/API/Loading/Error/Role/Route/Paging/Type/共通</x:v>
      </x:c>
      <x:c r="E20" s="67" t="str">
        <x:v>各Group</x:v>
      </x:c>
      <x:c r="F20" s="67" t="str">
        <x:v>必須</x:v>
      </x:c>
      <x:c r="G20" s="67" t="str">
        <x:v>講師</x:v>
      </x:c>
      <x:c r="H20" s="67"/>
    </x:row>
    <x:row r="21" ht="30" customHeight="1">
      <x:c r="A21" s="67" t="n">
        <x:v>14</x:v>
      </x:c>
      <x:c r="B21" s="67" t="str">
        <x:v>14_単体テスト仕様書.xlsx</x:v>
      </x:c>
      <x:c r="C21" s="67" t="str">
        <x:v>担当機能</x:v>
      </x:c>
      <x:c r="D21" s="67" t="str">
        <x:v>Class/API/画面単位の正常/境界/異常/権限/競合/Transaction/Log</x:v>
      </x:c>
      <x:c r="E21" s="67" t="str">
        <x:v>各PG</x:v>
      </x:c>
      <x:c r="F21" s="67" t="str">
        <x:v>必須</x:v>
      </x:c>
      <x:c r="G21" s="67" t="str">
        <x:v>Leader</x:v>
      </x:c>
      <x:c r="H21" s="67" t="str">
        <x:v>Project Template使用</x:v>
      </x:c>
    </x:row>
    <x:row r="22" ht="30" customHeight="1">
      <x:c r="A22" s="67" t="n">
        <x:v>15</x:v>
      </x:c>
      <x:c r="B22" s="67" t="str">
        <x:v>15_結合テスト仕様書.xlsx</x:v>
      </x:c>
      <x:c r="C22" s="67" t="str">
        <x:v>担当機能</x:v>
      </x:c>
      <x:c r="D22" s="67" t="str">
        <x:v>画面-API/API-DB/権限/Batch/File/Redis/障害/回帰</x:v>
      </x:c>
      <x:c r="E22" s="67" t="str">
        <x:v>各PG</x:v>
      </x:c>
      <x:c r="F22" s="67" t="str">
        <x:v>必須</x:v>
      </x:c>
      <x:c r="G22" s="67" t="str">
        <x:v>Leader</x:v>
      </x:c>
      <x:c r="H22" s="67" t="str">
        <x:v>Trace ID保持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72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20" t="str">
        <x:v>詳細設計 Review Checklist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CW-EDU-002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Review項目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No.</x:v>
      </x:c>
      <x:c r="B7" s="31" t="str">
        <x:v>分類</x:v>
      </x:c>
      <x:c r="C7" s="31" t="str">
        <x:v>確認項目</x:v>
      </x:c>
      <x:c r="D7" s="31" t="str">
        <x:v>判定</x:v>
      </x:c>
      <x:c r="E7" s="31" t="str">
        <x:v>指摘No.</x:v>
      </x:c>
      <x:c r="F7" s="31" t="str">
        <x:v>確認者</x:v>
      </x:c>
      <x:c r="G7" s="31" t="str">
        <x:v>確認日</x:v>
      </x:c>
      <x:c r="H7" s="31" t="str">
        <x:v>備考</x:v>
      </x:c>
    </x:row>
    <x:row r="8">
      <x:c r="A8" s="33" t="n">
        <x:v>1</x:v>
      </x:c>
      <x:c r="B8" s="33" t="str">
        <x:v>業務理解</x:v>
      </x:c>
      <x:c r="C8" s="33" t="str">
        <x:v>Role権限を正しく理解している</x:v>
      </x:c>
      <x:c r="D8" s="33" t="str">
        <x:v>未確認</x:v>
      </x:c>
      <x:c r="E8" s="33" t="str"/>
      <x:c r="F8" s="33" t="str"/>
      <x:c r="G8" s="33" t="str"/>
      <x:c r="H8" s="33" t="str"/>
    </x:row>
    <x:row r="9">
      <x:c r="A9" s="33" t="n">
        <x:v>2</x:v>
      </x:c>
      <x:c r="B9" s="33" t="str">
        <x:v>業務理解</x:v>
      </x:c>
      <x:c r="C9" s="33" t="str">
        <x:v>PJ・Member・Task関係を正しく設計している</x:v>
      </x:c>
      <x:c r="D9" s="33" t="str">
        <x:v>未確認</x:v>
      </x:c>
      <x:c r="E9" s="33" t="str"/>
      <x:c r="F9" s="33" t="str"/>
      <x:c r="G9" s="33" t="str"/>
      <x:c r="H9" s="33" t="str"/>
    </x:row>
    <x:row r="10">
      <x:c r="A10" s="33" t="n">
        <x:v>3</x:v>
      </x:c>
      <x:c r="B10" s="33" t="str">
        <x:v>業務理解</x:v>
      </x:c>
      <x:c r="C10" s="33" t="str">
        <x:v>Task状態遷移と完了承認を設計している</x:v>
      </x:c>
      <x:c r="D10" s="33" t="str">
        <x:v>未確認</x:v>
      </x:c>
      <x:c r="E10" s="33" t="str"/>
      <x:c r="F10" s="33" t="str"/>
      <x:c r="G10" s="33" t="str"/>
      <x:c r="H10" s="33" t="str"/>
    </x:row>
    <x:row r="11">
      <x:c r="A11" s="33" t="n">
        <x:v>4</x:v>
      </x:c>
      <x:c r="B11" s="33" t="str">
        <x:v>業務理解</x:v>
      </x:c>
      <x:c r="C11" s="33" t="str">
        <x:v>日報同日一件と編集期限を考慮している</x:v>
      </x:c>
      <x:c r="D11" s="33" t="str">
        <x:v>未確認</x:v>
      </x:c>
      <x:c r="E11" s="33" t="str"/>
      <x:c r="F11" s="33" t="str"/>
      <x:c r="G11" s="33" t="str"/>
      <x:c r="H11" s="33" t="str"/>
    </x:row>
    <x:row r="12">
      <x:c r="A12" s="33" t="n">
        <x:v>5</x:v>
      </x:c>
      <x:c r="B12" s="33" t="str">
        <x:v>業務理解</x:v>
      </x:c>
      <x:c r="C12" s="33" t="str">
        <x:v>退職社員のUser/Task/PJ処理を考慮している</x:v>
      </x:c>
      <x:c r="D12" s="33" t="str">
        <x:v>未確認</x:v>
      </x:c>
      <x:c r="E12" s="33" t="str"/>
      <x:c r="F12" s="33" t="str"/>
      <x:c r="G12" s="33" t="str"/>
      <x:c r="H12" s="33" t="str"/>
    </x:row>
    <x:row r="13">
      <x:c r="A13" s="33" t="n">
        <x:v>6</x:v>
      </x:c>
      <x:c r="B13" s="33" t="str">
        <x:v>技術</x:v>
      </x:c>
      <x:c r="C13" s="33" t="str">
        <x:v>Controller/Service/Repository責務が明確</x:v>
      </x:c>
      <x:c r="D13" s="33" t="str">
        <x:v>未確認</x:v>
      </x:c>
      <x:c r="E13" s="33" t="str"/>
      <x:c r="F13" s="33" t="str"/>
      <x:c r="G13" s="33" t="str"/>
      <x:c r="H13" s="33" t="str"/>
    </x:row>
    <x:row r="14">
      <x:c r="A14" s="33" t="n">
        <x:v>7</x:v>
      </x:c>
      <x:c r="B14" s="33" t="str">
        <x:v>技術</x:v>
      </x:c>
      <x:c r="C14" s="33" t="str">
        <x:v>Controllerへ業務を集中させていない</x:v>
      </x:c>
      <x:c r="D14" s="33" t="str">
        <x:v>未確認</x:v>
      </x:c>
      <x:c r="E14" s="33" t="str"/>
      <x:c r="F14" s="33" t="str"/>
      <x:c r="G14" s="33" t="str"/>
      <x:c r="H14" s="33" t="str"/>
    </x:row>
    <x:row r="15">
      <x:c r="A15" s="33" t="n">
        <x:v>8</x:v>
      </x:c>
      <x:c r="B15" s="33" t="str">
        <x:v>技術</x:v>
      </x:c>
      <x:c r="C15" s="33" t="str">
        <x:v>Request/Response DTOを分離しEntityを直接返さない</x:v>
      </x:c>
      <x:c r="D15" s="33" t="str">
        <x:v>未確認</x:v>
      </x:c>
      <x:c r="E15" s="33" t="str"/>
      <x:c r="F15" s="33" t="str"/>
      <x:c r="G15" s="33" t="str"/>
      <x:c r="H15" s="33" t="str"/>
    </x:row>
    <x:row r="16">
      <x:c r="A16" s="33" t="n">
        <x:v>9</x:v>
      </x:c>
      <x:c r="B16" s="33" t="str">
        <x:v>技術</x:v>
      </x:c>
      <x:c r="C16" s="33" t="str">
        <x:v>Transaction範囲とRollbackを明確化</x:v>
      </x:c>
      <x:c r="D16" s="33" t="str">
        <x:v>未確認</x:v>
      </x:c>
      <x:c r="E16" s="33" t="str"/>
      <x:c r="F16" s="33" t="str"/>
      <x:c r="G16" s="33" t="str"/>
      <x:c r="H16" s="33" t="str"/>
    </x:row>
    <x:row r="17">
      <x:c r="A17" s="33" t="n">
        <x:v>10</x:v>
      </x:c>
      <x:c r="B17" s="33" t="str">
        <x:v>技術</x:v>
      </x:c>
      <x:c r="C17" s="33" t="str">
        <x:v>楽観Lock、論理削除、幂等、Redisを正しく設計</x:v>
      </x:c>
      <x:c r="D17" s="33" t="str">
        <x:v>未確認</x:v>
      </x:c>
      <x:c r="E17" s="33" t="str"/>
      <x:c r="F17" s="33" t="str"/>
      <x:c r="G17" s="33" t="str"/>
      <x:c r="H17" s="33" t="str"/>
    </x:row>
    <x:row r="18">
      <x:c r="A18" s="33" t="n">
        <x:v>11</x:v>
      </x:c>
      <x:c r="B18" s="33" t="str">
        <x:v>DB</x:v>
      </x:c>
      <x:c r="C18" s="33" t="str">
        <x:v>Table関係、Type、桁、PK/FK/UK/NN/Defaultが妥当</x:v>
      </x:c>
      <x:c r="D18" s="33" t="str">
        <x:v>未確認</x:v>
      </x:c>
      <x:c r="E18" s="33" t="str"/>
      <x:c r="F18" s="33" t="str"/>
      <x:c r="G18" s="33" t="str"/>
      <x:c r="H18" s="33" t="str"/>
    </x:row>
    <x:row r="19">
      <x:c r="A19" s="33" t="n">
        <x:v>12</x:v>
      </x:c>
      <x:c r="B19" s="33" t="str">
        <x:v>DB</x:v>
      </x:c>
      <x:c r="C19" s="33" t="str">
        <x:v>必要Indexと一意制約がある</x:v>
      </x:c>
      <x:c r="D19" s="33" t="str">
        <x:v>未確認</x:v>
      </x:c>
      <x:c r="E19" s="33" t="str"/>
      <x:c r="F19" s="33" t="str"/>
      <x:c r="G19" s="33" t="str"/>
      <x:c r="H19" s="33" t="str"/>
    </x:row>
    <x:row r="20">
      <x:c r="A20" s="33" t="n">
        <x:v>13</x:v>
      </x:c>
      <x:c r="B20" s="33" t="str">
        <x:v>DB</x:v>
      </x:c>
      <x:c r="C20" s="33" t="str">
        <x:v>履歴保持と削除方針が明確</x:v>
      </x:c>
      <x:c r="D20" s="33" t="str">
        <x:v>未確認</x:v>
      </x:c>
      <x:c r="E20" s="33" t="str"/>
      <x:c r="F20" s="33" t="str"/>
      <x:c r="G20" s="33" t="str"/>
      <x:c r="H20" s="33" t="str"/>
    </x:row>
    <x:row r="21">
      <x:c r="A21" s="33" t="n">
        <x:v>14</x:v>
      </x:c>
      <x:c r="B21" s="33" t="str">
        <x:v>例外</x:v>
      </x:c>
      <x:c r="C21" s="33" t="str">
        <x:v>Parameter/認証/権限/業務/Data/System例外を区別</x:v>
      </x:c>
      <x:c r="D21" s="33" t="str">
        <x:v>未確認</x:v>
      </x:c>
      <x:c r="E21" s="33" t="str"/>
      <x:c r="F21" s="33" t="str"/>
      <x:c r="G21" s="33" t="str"/>
      <x:c r="H21" s="33" t="str"/>
    </x:row>
    <x:row r="22">
      <x:c r="A22" s="33" t="n">
        <x:v>15</x:v>
      </x:c>
      <x:c r="B22" s="33" t="str">
        <x:v>例外</x:v>
      </x:c>
      <x:c r="C22" s="33" t="str">
        <x:v>HTTP Statusと業務Error Codeが整合</x:v>
      </x:c>
      <x:c r="D22" s="33" t="str">
        <x:v>未確認</x:v>
      </x:c>
      <x:c r="E22" s="33" t="str"/>
      <x:c r="F22" s="33" t="str"/>
      <x:c r="G22" s="33" t="str"/>
      <x:c r="H22" s="33" t="str"/>
    </x:row>
    <x:row r="23">
      <x:c r="A23" s="33" t="n">
        <x:v>16</x:v>
      </x:c>
      <x:c r="B23" s="33" t="str">
        <x:v>例外</x:v>
      </x:c>
      <x:c r="C23" s="33" t="str">
        <x:v>Stack/内部情報をフロントエンドへ返さない</x:v>
      </x:c>
      <x:c r="D23" s="33" t="str">
        <x:v>未確認</x:v>
      </x:c>
      <x:c r="E23" s="33" t="str"/>
      <x:c r="F23" s="33" t="str"/>
      <x:c r="G23" s="33" t="str"/>
      <x:c r="H23" s="33" t="str"/>
    </x:row>
    <x:row r="24">
      <x:c r="A24" s="33" t="n">
        <x:v>17</x:v>
      </x:c>
      <x:c r="B24" s="33" t="str">
        <x:v>Security</x:v>
      </x:c>
      <x:c r="C24" s="33" t="str">
        <x:v>Password/JWT/越権/File/Logマスキングを考慮</x:v>
      </x:c>
      <x:c r="D24" s="33" t="str">
        <x:v>未確認</x:v>
      </x:c>
      <x:c r="E24" s="33" t="str"/>
      <x:c r="F24" s="33" t="str"/>
      <x:c r="G24" s="33" t="str"/>
      <x:c r="H24" s="33" t="str"/>
    </x:row>
    <x:row r="25">
      <x:c r="A25" s="33" t="n">
        <x:v>18</x:v>
      </x:c>
      <x:c r="B25" s="33" t="str">
        <x:v>Test</x:v>
      </x:c>
      <x:c r="C25" s="33" t="str">
        <x:v>正常/参数/権限/業務/競合/Rollback/重複をCover</x:v>
      </x:c>
      <x:c r="D25" s="33" t="str">
        <x:v>未確認</x:v>
      </x:c>
      <x:c r="E25" s="33" t="str"/>
      <x:c r="F25" s="33" t="str"/>
      <x:c r="G25" s="33" t="str"/>
      <x:c r="H25" s="33" t="str"/>
    </x:row>
    <x:row r="26">
      <x:c r="A26" s="33" t="n">
        <x:v>19</x:v>
      </x:c>
      <x:c r="B26" s="33" t="str">
        <x:v>画面</x:v>
      </x:c>
      <x:c r="C26" s="33" t="str">
        <x:v>初期表示/項目/I-O/必須/桁/Check/Event/遷移が明確</x:v>
      </x:c>
      <x:c r="D26" s="33" t="str">
        <x:v>未確認</x:v>
      </x:c>
      <x:c r="E26" s="33" t="str"/>
      <x:c r="F26" s="33" t="str"/>
      <x:c r="G26" s="33" t="str"/>
      <x:c r="H26" s="33" t="str"/>
    </x:row>
    <x:row r="27">
      <x:c r="A27" s="33" t="n">
        <x:v>20</x:v>
      </x:c>
      <x:c r="B27" s="33" t="str">
        <x:v>API</x:v>
      </x:c>
      <x:c r="C27" s="33" t="str">
        <x:v>権限/I-O/Check/処理順/Table/Tx/Error/Log/Testが明確</x:v>
      </x:c>
      <x:c r="D27" s="33" t="str">
        <x:v>未確認</x:v>
      </x:c>
      <x:c r="E27" s="33" t="str"/>
      <x:c r="F27" s="33" t="str"/>
      <x:c r="G27" s="33" t="str"/>
      <x:c r="H27" s="33" t="str"/>
    </x:row>
    <x:row r="28">
      <x:c r="A28" s="33" t="n">
        <x:v>21</x:v>
      </x:c>
      <x:c r="B28" s="33" t="str">
        <x:v>可読性</x:v>
      </x:c>
      <x:c r="C28" s="33" t="str">
        <x:v>ID、名称、用語、版数、修訂履歴が一貫</x:v>
      </x:c>
      <x:c r="D28" s="33" t="str">
        <x:v>未確認</x:v>
      </x:c>
      <x:c r="E28" s="33" t="str"/>
      <x:c r="F28" s="33" t="str"/>
      <x:c r="G28" s="33" t="str"/>
      <x:c r="H28" s="33" t="str"/>
    </x:row>
    <x:row r="29">
      <x:c r="A29" s="33" t="n">
        <x:v>22</x:v>
      </x:c>
      <x:c r="B29" s="33" t="str">
        <x:v>追跡性</x:v>
      </x:c>
      <x:c r="C29" s="33" t="str">
        <x:v>要件→画面/API/Table/Testを追跡可能</x:v>
      </x:c>
      <x:c r="D29" s="33" t="str">
        <x:v>未確認</x:v>
      </x:c>
      <x:c r="E29" s="33" t="str"/>
      <x:c r="F29" s="33" t="str"/>
      <x:c r="G29" s="33" t="str"/>
      <x:c r="H29" s="33" t="str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conditionalFormatting sqref="D8:D29">
    <x:cfRule type="containsText" dxfId="0" priority="1" operator="containsText" text="OK"/>
    <x:cfRule type="containsText" dxfId="1" priority="2" operator="containsText" text="NG"/>
  </x:conditionalFormatting>
  <x:dataValidations count="1">
    <x:dataValidation type="list" sqref="D8:D29">
      <x:formula1>"未確認,OK,NG,対象外"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7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>
      <x:c r="A1" s="20" t="str">
        <x:v>Coding Review Checklist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CW-EDU-003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Coding確認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No.</x:v>
      </x:c>
      <x:c r="B7" s="31" t="str">
        <x:v>分類</x:v>
      </x:c>
      <x:c r="C7" s="31" t="str">
        <x:v>確認項目</x:v>
      </x:c>
      <x:c r="D7" s="31" t="str">
        <x:v>結果</x:v>
      </x:c>
      <x:c r="E7" s="31" t="str">
        <x:v>指摘No.</x:v>
      </x:c>
      <x:c r="F7" s="31" t="str">
        <x:v>担当</x:v>
      </x:c>
      <x:c r="G7" s="31" t="str">
        <x:v>確認者</x:v>
      </x:c>
      <x:c r="H7" s="31" t="str">
        <x:v>備考</x:v>
      </x:c>
    </x:row>
    <x:row r="8">
      <x:c r="A8" s="33" t="n">
        <x:v>1</x:v>
      </x:c>
      <x:c r="B8" s="33" t="str">
        <x:v>構造</x:v>
      </x:c>
      <x:c r="C8" s="33" t="str">
        <x:v>Layer/Module構成が詳細設計と一致</x:v>
      </x:c>
      <x:c r="D8" s="33" t="str">
        <x:v>未確認</x:v>
      </x:c>
      <x:c r="E8" s="33" t="str"/>
      <x:c r="F8" s="33" t="str"/>
      <x:c r="G8" s="33" t="str"/>
      <x:c r="H8" s="33" t="str"/>
    </x:row>
    <x:row r="9">
      <x:c r="A9" s="33" t="n">
        <x:v>2</x:v>
      </x:c>
      <x:c r="B9" s="33" t="str">
        <x:v>構造</x:v>
      </x:c>
      <x:c r="C9" s="33" t="str">
        <x:v>ControllerにSQL・全業務判断を書かない</x:v>
      </x:c>
      <x:c r="D9" s="33" t="str">
        <x:v>未確認</x:v>
      </x:c>
      <x:c r="E9" s="33" t="str"/>
      <x:c r="F9" s="33" t="str"/>
      <x:c r="G9" s="33" t="str"/>
      <x:c r="H9" s="33" t="str"/>
    </x:row>
    <x:row r="10">
      <x:c r="A10" s="33" t="n">
        <x:v>3</x:v>
      </x:c>
      <x:c r="B10" s="33" t="str">
        <x:v>DTO</x:v>
      </x:c>
      <x:c r="C10" s="33" t="str">
        <x:v>EntityをAPIへ直接返さない</x:v>
      </x:c>
      <x:c r="D10" s="33" t="str">
        <x:v>未確認</x:v>
      </x:c>
      <x:c r="E10" s="33" t="str"/>
      <x:c r="F10" s="33" t="str"/>
      <x:c r="G10" s="33" t="str"/>
      <x:c r="H10" s="33" t="str"/>
    </x:row>
    <x:row r="11">
      <x:c r="A11" s="33" t="n">
        <x:v>4</x:v>
      </x:c>
      <x:c r="B11" s="33" t="str">
        <x:v>Validation</x:v>
      </x:c>
      <x:c r="C11" s="33" t="str">
        <x:v>Bean Validationと業務Checkを分離</x:v>
      </x:c>
      <x:c r="D11" s="33" t="str">
        <x:v>未確認</x:v>
      </x:c>
      <x:c r="E11" s="33" t="str"/>
      <x:c r="F11" s="33" t="str"/>
      <x:c r="G11" s="33" t="str"/>
      <x:c r="H11" s="33" t="str"/>
    </x:row>
    <x:row r="12">
      <x:c r="A12" s="33" t="n">
        <x:v>5</x:v>
      </x:c>
      <x:c r="B12" s="33" t="str">
        <x:v>認証</x:v>
      </x:c>
      <x:c r="C12" s="33" t="str">
        <x:v>Current UserをSecurity Contextから取得しRequest userIdを信頼しない</x:v>
      </x:c>
      <x:c r="D12" s="33" t="str">
        <x:v>未確認</x:v>
      </x:c>
      <x:c r="E12" s="33" t="str"/>
      <x:c r="F12" s="33" t="str"/>
      <x:c r="G12" s="33" t="str"/>
      <x:c r="H12" s="33" t="str"/>
    </x:row>
    <x:row r="13">
      <x:c r="A13" s="33" t="n">
        <x:v>6</x:v>
      </x:c>
      <x:c r="B13" s="33" t="str">
        <x:v>権限</x:v>
      </x:c>
      <x:c r="C13" s="33" t="str">
        <x:v>RoleとData範囲をバックエンドで確認</x:v>
      </x:c>
      <x:c r="D13" s="33" t="str">
        <x:v>未確認</x:v>
      </x:c>
      <x:c r="E13" s="33" t="str"/>
      <x:c r="F13" s="33" t="str"/>
      <x:c r="G13" s="33" t="str"/>
      <x:c r="H13" s="33" t="str"/>
    </x:row>
    <x:row r="14">
      <x:c r="A14" s="33" t="n">
        <x:v>7</x:v>
      </x:c>
      <x:c r="B14" s="33" t="str">
        <x:v>Password</x:v>
      </x:c>
      <x:c r="C14" s="33" t="str">
        <x:v>BCrypt/Argon2、平文/Log出力なし</x:v>
      </x:c>
      <x:c r="D14" s="33" t="str">
        <x:v>未確認</x:v>
      </x:c>
      <x:c r="E14" s="33" t="str"/>
      <x:c r="F14" s="33" t="str"/>
      <x:c r="G14" s="33" t="str"/>
      <x:c r="H14" s="33" t="str"/>
    </x:row>
    <x:row r="15">
      <x:c r="A15" s="33" t="n">
        <x:v>8</x:v>
      </x:c>
      <x:c r="B15" s="33" t="str">
        <x:v>JWT</x:v>
      </x:c>
      <x:c r="C15" s="33" t="str">
        <x:v>署名/期限/失効/Refresh用途を分離</x:v>
      </x:c>
      <x:c r="D15" s="33" t="str">
        <x:v>未確認</x:v>
      </x:c>
      <x:c r="E15" s="33" t="str"/>
      <x:c r="F15" s="33" t="str"/>
      <x:c r="G15" s="33" t="str"/>
      <x:c r="H15" s="33" t="str"/>
    </x:row>
    <x:row r="16">
      <x:c r="A16" s="33" t="n">
        <x:v>9</x:v>
      </x:c>
      <x:c r="B16" s="33" t="str">
        <x:v>Transaction</x:v>
      </x:c>
      <x:c r="C16" s="33" t="str">
        <x:v>複数更新を正しいトランザクション境界で実行</x:v>
      </x:c>
      <x:c r="D16" s="33" t="str">
        <x:v>未確認</x:v>
      </x:c>
      <x:c r="E16" s="33" t="str"/>
      <x:c r="F16" s="33" t="str"/>
      <x:c r="G16" s="33" t="str"/>
      <x:c r="H16" s="33" t="str"/>
    </x:row>
    <x:row r="17">
      <x:c r="A17" s="33" t="n">
        <x:v>10</x:v>
      </x:c>
      <x:c r="B17" s="33" t="str">
        <x:v>排他</x:v>
      </x:c>
      <x:c r="C17" s="33" t="str">
        <x:v>version条件と更新件数0を処理</x:v>
      </x:c>
      <x:c r="D17" s="33" t="str">
        <x:v>未確認</x:v>
      </x:c>
      <x:c r="E17" s="33" t="str"/>
      <x:c r="F17" s="33" t="str"/>
      <x:c r="G17" s="33" t="str"/>
      <x:c r="H17" s="33" t="str"/>
    </x:row>
    <x:row r="18">
      <x:c r="A18" s="33" t="n">
        <x:v>11</x:v>
      </x:c>
      <x:c r="B18" s="33" t="str">
        <x:v>削除</x:v>
      </x:c>
      <x:c r="C18" s="33" t="str">
        <x:v>主要Dataを物理削除しない</x:v>
      </x:c>
      <x:c r="D18" s="33" t="str">
        <x:v>未確認</x:v>
      </x:c>
      <x:c r="E18" s="33" t="str"/>
      <x:c r="F18" s="33" t="str"/>
      <x:c r="G18" s="33" t="str"/>
      <x:c r="H18" s="33" t="str"/>
    </x:row>
    <x:row r="19">
      <x:c r="A19" s="33" t="n">
        <x:v>12</x:v>
      </x:c>
      <x:c r="B19" s="33" t="str">
        <x:v>SQL</x:v>
      </x:c>
      <x:c r="C19" s="33" t="str">
        <x:v>Parameter Bind、N+1/全件検索を回避</x:v>
      </x:c>
      <x:c r="D19" s="33" t="str">
        <x:v>未確認</x:v>
      </x:c>
      <x:c r="E19" s="33" t="str"/>
      <x:c r="F19" s="33" t="str"/>
      <x:c r="G19" s="33" t="str"/>
      <x:c r="H19" s="33" t="str"/>
    </x:row>
    <x:row r="20">
      <x:c r="A20" s="33" t="n">
        <x:v>13</x:v>
      </x:c>
      <x:c r="B20" s="33" t="str">
        <x:v>Index</x:v>
      </x:c>
      <x:c r="C20" s="33" t="str">
        <x:v>検索条件とIndexを意識</x:v>
      </x:c>
      <x:c r="D20" s="33" t="str">
        <x:v>未確認</x:v>
      </x:c>
      <x:c r="E20" s="33" t="str"/>
      <x:c r="F20" s="33" t="str"/>
      <x:c r="G20" s="33" t="str"/>
      <x:c r="H20" s="33" t="str"/>
    </x:row>
    <x:row r="21">
      <x:c r="A21" s="33" t="n">
        <x:v>14</x:v>
      </x:c>
      <x:c r="B21" s="33" t="str">
        <x:v>Redis</x:v>
      </x:c>
      <x:c r="C21" s="33" t="str">
        <x:v>Key/TTL/Delete/Fallbackを実装</x:v>
      </x:c>
      <x:c r="D21" s="33" t="str">
        <x:v>未確認</x:v>
      </x:c>
      <x:c r="E21" s="33" t="str"/>
      <x:c r="F21" s="33" t="str"/>
      <x:c r="G21" s="33" t="str"/>
      <x:c r="H21" s="33" t="str"/>
    </x:row>
    <x:row r="22">
      <x:c r="A22" s="33" t="n">
        <x:v>15</x:v>
      </x:c>
      <x:c r="B22" s="33" t="str">
        <x:v>幂等</x:v>
      </x:c>
      <x:c r="C22" s="33" t="str">
        <x:v>登録系重複Requestを制御</x:v>
      </x:c>
      <x:c r="D22" s="33" t="str">
        <x:v>未確認</x:v>
      </x:c>
      <x:c r="E22" s="33" t="str"/>
      <x:c r="F22" s="33" t="str"/>
      <x:c r="G22" s="33" t="str"/>
      <x:c r="H22" s="33" t="str"/>
    </x:row>
    <x:row r="23">
      <x:c r="A23" s="33" t="n">
        <x:v>16</x:v>
      </x:c>
      <x:c r="B23" s="33" t="str">
        <x:v>File</x:v>
      </x:c>
      <x:c r="C23" s="33" t="str">
        <x:v>MIME/拡張子/Size/Path/UUIDをCheck</x:v>
      </x:c>
      <x:c r="D23" s="33" t="str">
        <x:v>未確認</x:v>
      </x:c>
      <x:c r="E23" s="33" t="str"/>
      <x:c r="F23" s="33" t="str"/>
      <x:c r="G23" s="33" t="str"/>
      <x:c r="H23" s="33" t="str"/>
    </x:row>
    <x:row r="24">
      <x:c r="A24" s="33" t="n">
        <x:v>17</x:v>
      </x:c>
      <x:c r="B24" s="33" t="str">
        <x:v>例外</x:v>
      </x:c>
      <x:c r="C24" s="33" t="str">
        <x:v>HTTP 200へ全Errorを統一しない</x:v>
      </x:c>
      <x:c r="D24" s="33" t="str">
        <x:v>未確認</x:v>
      </x:c>
      <x:c r="E24" s="33" t="str"/>
      <x:c r="F24" s="33" t="str"/>
      <x:c r="G24" s="33" t="str"/>
      <x:c r="H24" s="33" t="str"/>
    </x:row>
    <x:row r="25">
      <x:c r="A25" s="33" t="n">
        <x:v>18</x:v>
      </x:c>
      <x:c r="B25" s="33" t="str">
        <x:v>例外</x:v>
      </x:c>
      <x:c r="C25" s="33" t="str">
        <x:v>Stack/SQL/PathをResponseへ出さない</x:v>
      </x:c>
      <x:c r="D25" s="33" t="str">
        <x:v>未確認</x:v>
      </x:c>
      <x:c r="E25" s="33" t="str"/>
      <x:c r="F25" s="33" t="str"/>
      <x:c r="G25" s="33" t="str"/>
      <x:c r="H25" s="33" t="str"/>
    </x:row>
    <x:row r="26">
      <x:c r="A26" s="33" t="n">
        <x:v>19</x:v>
      </x:c>
      <x:c r="B26" s="33" t="str">
        <x:v>Log</x:v>
      </x:c>
      <x:c r="C26" s="33" t="str">
        <x:v>traceId/Action/Resultを記録し機密をMask</x:v>
      </x:c>
      <x:c r="D26" s="33" t="str">
        <x:v>未確認</x:v>
      </x:c>
      <x:c r="E26" s="33" t="str"/>
      <x:c r="F26" s="33" t="str"/>
      <x:c r="G26" s="33" t="str"/>
      <x:c r="H26" s="33" t="str"/>
    </x:row>
    <x:row r="27">
      <x:c r="A27" s="33" t="n">
        <x:v>20</x:v>
      </x:c>
      <x:c r="B27" s="33" t="str">
        <x:v>Frontend</x:v>
      </x:c>
      <x:c r="C27" s="33" t="str">
        <x:v>Loading/二重送信/Error/権限/入力保持を実装</x:v>
      </x:c>
      <x:c r="D27" s="33" t="str">
        <x:v>未確認</x:v>
      </x:c>
      <x:c r="E27" s="33" t="str"/>
      <x:c r="F27" s="33" t="str"/>
      <x:c r="G27" s="33" t="str"/>
      <x:c r="H27" s="33" t="str"/>
    </x:row>
    <x:row r="28">
      <x:c r="A28" s="33" t="n">
        <x:v>21</x:v>
      </x:c>
      <x:c r="B28" s="33" t="str">
        <x:v>Test</x:v>
      </x:c>
      <x:c r="C28" s="33" t="str">
        <x:v>正常/境界/異常/権限/競合/Rollbackを実装</x:v>
      </x:c>
      <x:c r="D28" s="33" t="str">
        <x:v>未確認</x:v>
      </x:c>
      <x:c r="E28" s="33" t="str"/>
      <x:c r="F28" s="33" t="str"/>
      <x:c r="G28" s="33" t="str"/>
      <x:c r="H28" s="33" t="str"/>
    </x:row>
    <x:row r="29">
      <x:c r="A29" s="33" t="n">
        <x:v>22</x:v>
      </x:c>
      <x:c r="B29" s="33" t="str">
        <x:v>品質</x:v>
      </x:c>
      <x:c r="C29" s="33" t="str">
        <x:v>命名、Comment、重複、未使用Codeを確認</x:v>
      </x:c>
      <x:c r="D29" s="33" t="str">
        <x:v>未確認</x:v>
      </x:c>
      <x:c r="E29" s="33" t="str"/>
      <x:c r="F29" s="33" t="str"/>
      <x:c r="G29" s="33" t="str"/>
      <x:c r="H29" s="33" t="str"/>
    </x:row>
    <x:row r="30">
      <x:c r="A30" s="33" t="n">
        <x:v>23</x:v>
      </x:c>
      <x:c r="B30" s="33" t="str">
        <x:v>Build</x:v>
      </x:c>
      <x:c r="C30" s="33" t="str">
        <x:v>静的解析/依存脆弱性/Testが成功</x:v>
      </x:c>
      <x:c r="D30" s="33" t="str">
        <x:v>未確認</x:v>
      </x:c>
      <x:c r="E30" s="33" t="str"/>
      <x:c r="F30" s="33" t="str"/>
      <x:c r="G30" s="33" t="str"/>
      <x:c r="H30" s="33" t="str"/>
    </x:row>
    <x:row r="31">
      <x:c r="A31" s="33" t="n">
        <x:v>24</x:v>
      </x:c>
      <x:c r="B31" s="33" t="str">
        <x:v>Config</x:v>
      </x:c>
      <x:c r="C31" s="33" t="str">
        <x:v>SecretをCode/Repositoryに保存しない</x:v>
      </x:c>
      <x:c r="D31" s="33" t="str">
        <x:v>未確認</x:v>
      </x:c>
      <x:c r="E31" s="33" t="str"/>
      <x:c r="F31" s="33" t="str"/>
      <x:c r="G31" s="33" t="str"/>
      <x:c r="H31" s="33" t="str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conditionalFormatting sqref="D8:D31">
    <x:cfRule type="containsText" dxfId="2" priority="1" operator="containsText" text="OK"/>
    <x:cfRule type="containsText" dxfId="3" priority="2" operator="containsText" text="NG"/>
  </x:conditionalFormatting>
  <x:dataValidations count="1">
    <x:dataValidation type="list" sqref="D8:D31">
      <x:formula1>"未確認,OK,NG,対象外"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24" hidden="0" customWidth="1"/>
    <x:col min="5" max="5" width="34" hidden="0" customWidth="1"/>
    <x:col min="6" max="6" width="42" hidden="0" customWidth="1"/>
    <x:col min="7" max="7" width="48" hidden="0" customWidth="1"/>
    <x:col min="8" max="8" width="24" hidden="0" customWidth="1"/>
    <x:col min="9" max="9" width="16" hidden="0" customWidth="1"/>
    <x:col min="10" max="10" width="40" hidden="0" customWidth="1"/>
    <x:col min="11" max="11" width="18" hidden="0" customWidth="1"/>
    <x:col min="12" max="12" width="18" hidden="0" customWidth="1"/>
  </x:cols>
  <x:sheetData>
    <x:row r="1">
      <x:c r="A1" s="20" t="str">
        <x:v>単体テスト証跡管理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3" t="str">
        <x:v>システム名</x:v>
      </x:c>
      <x:c r="B3" s="23"/>
      <x:c r="C3" s="23"/>
      <x:c r="D3" s="21" t="str">
        <x:v>Company WorkHub</x:v>
      </x:c>
      <x:c r="E3" s="21"/>
      <x:c r="F3" s="21"/>
      <x:c r="G3" s="23" t="str">
        <x:v>文書番号</x:v>
      </x:c>
      <x:c r="H3" s="23"/>
      <x:c r="I3" s="23"/>
      <x:c r="J3" s="21" t="str">
        <x:v>CW-EDU-004</x:v>
      </x:c>
      <x:c r="K3" s="21"/>
      <x:c r="L3" s="21"/>
    </x:row>
    <x:row r="4">
      <x:c r="A4" s="23" t="str">
        <x:v>版数</x:v>
      </x:c>
      <x:c r="B4" s="23"/>
      <x:c r="C4" s="23"/>
      <x:c r="D4" s="21" t="str">
        <x:v>Ver.1.8</x:v>
      </x:c>
      <x:c r="E4" s="21"/>
      <x:c r="F4" s="21"/>
      <x:c r="G4" s="23" t="str">
        <x:v>作成日</x:v>
      </x:c>
      <x:c r="H4" s="23"/>
      <x:c r="I4" s="23"/>
      <x:c r="J4" s="24" t="n">
        <x:v>46239</x:v>
      </x:c>
      <x:c r="K4" s="24"/>
      <x:c r="L4" s="24"/>
    </x:row>
    <x:row r="6" ht="22" customHeight="1">
      <x:c r="A6" s="26" t="str">
        <x:v>1. Test Evidence</x:v>
      </x:c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</x:row>
    <x:row r="7">
      <x:c r="A7" s="31" t="str">
        <x:v>Test ID</x:v>
      </x:c>
      <x:c r="B7" s="31" t="str">
        <x:v>対象機能</x:v>
      </x:c>
      <x:c r="C7" s="31" t="str">
        <x:v>Class/API/画面</x:v>
      </x:c>
      <x:c r="D7" s="31" t="str">
        <x:v>観点</x:v>
      </x:c>
      <x:c r="E7" s="31" t="str">
        <x:v>事前条件</x:v>
      </x:c>
      <x:c r="F7" s="31" t="str">
        <x:v>入力</x:v>
      </x:c>
      <x:c r="G7" s="31" t="str">
        <x:v>期待結果</x:v>
      </x:c>
      <x:c r="H7" s="31" t="str">
        <x:v>実行結果</x:v>
      </x:c>
      <x:c r="I7" s="31" t="str">
        <x:v>判定</x:v>
      </x:c>
      <x:c r="J7" s="31" t="str">
        <x:v>証跡File</x:v>
      </x:c>
      <x:c r="K7" s="31" t="str">
        <x:v>実行者</x:v>
      </x:c>
      <x:c r="L7" s="31" t="str">
        <x:v>実行日</x:v>
      </x:c>
    </x:row>
    <x:row r="8">
      <x:c r="A8" s="33" t="str">
        <x:v>UT-AUTH-001</x:v>
      </x:c>
      <x:c r="B8" s="33" t="str">
        <x:v>M01</x:v>
      </x:c>
      <x:c r="C8" s="33" t="str">
        <x:v>API-AUTH-001</x:v>
      </x:c>
      <x:c r="D8" s="33" t="str">
        <x:v>正常Login</x:v>
      </x:c>
      <x:c r="E8" s="33" t="str">
        <x:v>有効User</x:v>
      </x:c>
      <x:c r="F8" s="33" t="str">
        <x:v>正しいUser/Password</x:v>
      </x:c>
      <x:c r="G8" s="33" t="str">
        <x:v>200/Token返却</x:v>
      </x:c>
      <x:c r="H8" s="33" t="str">
        <x:v>予定</x:v>
      </x:c>
      <x:c r="I8" s="33" t="str">
        <x:v>未実施</x:v>
      </x:c>
      <x:c r="J8" s="33" t="str">
        <x:v>evidence/UT-AUTH-001.png</x:v>
      </x:c>
      <x:c r="K8" s="33" t="str"/>
      <x:c r="L8" s="34"/>
    </x:row>
    <x:row r="9">
      <x:c r="A9" s="33" t="str">
        <x:v>UT-AUTH-002</x:v>
      </x:c>
      <x:c r="B9" s="33" t="str">
        <x:v>M01</x:v>
      </x:c>
      <x:c r="C9" s="33" t="str">
        <x:v>API-AUTH-001</x:v>
      </x:c>
      <x:c r="D9" s="33" t="str">
        <x:v>Lock</x:v>
      </x:c>
      <x:c r="E9" s="33" t="str">
        <x:v>4回失敗済</x:v>
      </x:c>
      <x:c r="F9" s="33" t="str">
        <x:v>誤Password</x:v>
      </x:c>
      <x:c r="G9" s="33" t="str">
        <x:v>5回目で30分Lock</x:v>
      </x:c>
      <x:c r="H9" s="33" t="str">
        <x:v>予定</x:v>
      </x:c>
      <x:c r="I9" s="33" t="str">
        <x:v>未実施</x:v>
      </x:c>
      <x:c r="J9" s="33" t="str">
        <x:v>evidence/UT-AUTH-002.png</x:v>
      </x:c>
      <x:c r="K9" s="33" t="str"/>
      <x:c r="L9" s="34"/>
    </x:row>
    <x:row r="10">
      <x:c r="A10" s="33" t="str">
        <x:v>UT-EMP-001</x:v>
      </x:c>
      <x:c r="B10" s="33" t="str">
        <x:v>M03</x:v>
      </x:c>
      <x:c r="C10" s="33" t="str">
        <x:v>API-EMP-003</x:v>
      </x:c>
      <x:c r="D10" s="33" t="str">
        <x:v>トランザクションRollback</x:v>
      </x:c>
      <x:c r="E10" s="33" t="str">
        <x:v>有効部門</x:v>
      </x:c>
      <x:c r="F10" s="33" t="str">
        <x:v>Role登録で例外</x:v>
      </x:c>
      <x:c r="G10" s="33" t="str">
        <x:v>社員/User/Role全て未登録</x:v>
      </x:c>
      <x:c r="H10" s="33" t="str">
        <x:v>予定</x:v>
      </x:c>
      <x:c r="I10" s="33" t="str">
        <x:v>未実施</x:v>
      </x:c>
      <x:c r="J10" s="33" t="str">
        <x:v>evidence/UT-EMP-001.png</x:v>
      </x:c>
      <x:c r="K10" s="33" t="str"/>
      <x:c r="L10" s="34"/>
    </x:row>
    <x:row r="11">
      <x:c r="A11" s="33" t="str">
        <x:v>UT-TASK-001</x:v>
      </x:c>
      <x:c r="B11" s="33" t="str">
        <x:v>M06</x:v>
      </x:c>
      <x:c r="C11" s="33" t="str">
        <x:v>API-TASK-005</x:v>
      </x:c>
      <x:c r="D11" s="33" t="str">
        <x:v>状態遷移</x:v>
      </x:c>
      <x:c r="E11" s="33" t="str">
        <x:v>TODO Task/担当者</x:v>
      </x:c>
      <x:c r="F11" s="33" t="str">
        <x:v>IN_PROGRESS/version0</x:v>
      </x:c>
      <x:c r="G11" s="33" t="str">
        <x:v>状態/進捗/履歴/通知更新</x:v>
      </x:c>
      <x:c r="H11" s="33" t="str">
        <x:v>予定</x:v>
      </x:c>
      <x:c r="I11" s="33" t="str">
        <x:v>未実施</x:v>
      </x:c>
      <x:c r="J11" s="33" t="str">
        <x:v>evidence/UT-TASK-001.png</x:v>
      </x:c>
      <x:c r="K11" s="33" t="str"/>
      <x:c r="L11" s="34"/>
    </x:row>
    <x:row r="12">
      <x:c r="A12" s="33" t="str">
        <x:v>UT-TASK-002</x:v>
      </x:c>
      <x:c r="B12" s="33" t="str">
        <x:v>M06</x:v>
      </x:c>
      <x:c r="C12" s="33" t="str">
        <x:v>API-TASK-005</x:v>
      </x:c>
      <x:c r="D12" s="33" t="str">
        <x:v>並行競合</x:v>
      </x:c>
      <x:c r="E12" s="33" t="str">
        <x:v>DB version1</x:v>
      </x:c>
      <x:c r="F12" s="33" t="str">
        <x:v>Request version0</x:v>
      </x:c>
      <x:c r="G12" s="33" t="str">
        <x:v>409 COMMON-4090</x:v>
      </x:c>
      <x:c r="H12" s="33" t="str">
        <x:v>予定</x:v>
      </x:c>
      <x:c r="I12" s="33" t="str">
        <x:v>未実施</x:v>
      </x:c>
      <x:c r="J12" s="33" t="str">
        <x:v>evidence/UT-TASK-002.png</x:v>
      </x:c>
      <x:c r="K12" s="33" t="str"/>
      <x:c r="L12" s="34"/>
    </x:row>
    <x:row r="13">
      <x:c r="A13" s="33" t="str">
        <x:v>UT-RPT-001</x:v>
      </x:c>
      <x:c r="B13" s="33" t="str">
        <x:v>M07</x:v>
      </x:c>
      <x:c r="C13" s="33" t="str">
        <x:v>API-RPT-003</x:v>
      </x:c>
      <x:c r="D13" s="33" t="str">
        <x:v>重複</x:v>
      </x:c>
      <x:c r="E13" s="33" t="str">
        <x:v>当日日報あり</x:v>
      </x:c>
      <x:c r="F13" s="33" t="str">
        <x:v>同日登録</x:v>
      </x:c>
      <x:c r="G13" s="33" t="str">
        <x:v>409 RPT-4001</x:v>
      </x:c>
      <x:c r="H13" s="33" t="str">
        <x:v>予定</x:v>
      </x:c>
      <x:c r="I13" s="33" t="str">
        <x:v>未実施</x:v>
      </x:c>
      <x:c r="J13" s="33" t="str">
        <x:v>evidence/UT-RPT-001.png</x:v>
      </x:c>
      <x:c r="K13" s="33" t="str"/>
      <x:c r="L13" s="34"/>
    </x:row>
    <x:row r="14">
      <x:c r="A14" s="33" t="str">
        <x:v>UT-FILE-001</x:v>
      </x:c>
      <x:c r="B14" s="33" t="str">
        <x:v>M09</x:v>
      </x:c>
      <x:c r="C14" s="33" t="str">
        <x:v>Upload</x:v>
      </x:c>
      <x:c r="D14" s="33" t="str">
        <x:v>Size超過</x:v>
      </x:c>
      <x:c r="E14" s="33" t="str">
        <x:v>権限あり</x:v>
      </x:c>
      <x:c r="F14" s="33" t="str">
        <x:v>10MB超File</x:v>
      </x:c>
      <x:c r="G14" s="33" t="str">
        <x:v>413 FILE-4002/DB記録なし</x:v>
      </x:c>
      <x:c r="H14" s="33" t="str">
        <x:v>予定</x:v>
      </x:c>
      <x:c r="I14" s="33" t="str">
        <x:v>未実施</x:v>
      </x:c>
      <x:c r="J14" s="33" t="str">
        <x:v>evidence/UT-FILE-001.png</x:v>
      </x:c>
      <x:c r="K14" s="33" t="str"/>
      <x:c r="L14" s="34"/>
    </x:row>
    <x:row r="15">
      <x:c r="L15" s="36"/>
    </x:row>
    <x:row r="16">
      <x:c r="L16" s="36"/>
    </x:row>
    <x:row r="17" ht="22" customHeight="1">
      <x:c r="A17" s="26" t="str">
        <x:v>2. 集計</x:v>
      </x:c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40"/>
    </x:row>
    <x:row r="18">
      <x:c r="A18" s="41" t="str">
        <x:v>総件数</x:v>
      </x:c>
      <x:c r="B18" s="41"/>
      <x:c r="C18" s="41" t="str">
        <x:v>OK</x:v>
      </x:c>
      <x:c r="D18" s="41"/>
      <x:c r="E18" s="41" t="str">
        <x:v>NG</x:v>
      </x:c>
      <x:c r="F18" s="41"/>
      <x:c r="G18" s="41" t="str">
        <x:v>未実施</x:v>
      </x:c>
      <x:c r="H18" s="41"/>
      <x:c r="L18" s="36"/>
    </x:row>
    <x:row r="19">
      <x:c r="A19" s="46" t="n">
        <x:f>C19+E19+G19</x:f>
        <x:v>7</x:v>
      </x:c>
      <x:c r="B19" s="46"/>
      <x:c r="C19" s="46" t="n">
        <x:f>COUNTIF(I8:I30,"OK")</x:f>
        <x:v>0</x:v>
      </x:c>
      <x:c r="D19" s="46"/>
      <x:c r="E19" s="46" t="n">
        <x:f>COUNTIF(I8:I30,"NG")</x:f>
        <x:v>0</x:v>
      </x:c>
      <x:c r="F19" s="46"/>
      <x:c r="G19" s="46" t="n">
        <x:f>COUNTIF(I8:I30,"未実施")</x:f>
        <x:v>7</x:v>
      </x:c>
      <x:c r="H19" s="46"/>
      <x:c r="L19" s="36"/>
    </x:row>
    <x:row r="20">
      <x:c r="A20" s="46"/>
      <x:c r="B20" s="46"/>
      <x:c r="C20" s="46"/>
      <x:c r="D20" s="46"/>
      <x:c r="E20" s="46"/>
      <x:c r="F20" s="46"/>
      <x:c r="G20" s="46"/>
      <x:c r="H20" s="46"/>
      <x:c r="L20" s="36"/>
    </x:row>
    <x:row r="21">
      <x:c r="L21" s="36"/>
    </x:row>
    <x:row r="22">
      <x:c r="L22" s="36"/>
    </x:row>
    <x:row r="23">
      <x:c r="L23" s="36"/>
    </x:row>
    <x:row r="24">
      <x:c r="L24" s="36"/>
    </x:row>
    <x:row r="25">
      <x:c r="L25" s="36"/>
    </x:row>
    <x:row r="26">
      <x:c r="L26" s="36"/>
    </x:row>
    <x:row r="27">
      <x:c r="L27" s="36"/>
    </x:row>
    <x:row r="28">
      <x:c r="L28" s="36"/>
    </x:row>
    <x:row r="29">
      <x:c r="L29" s="36"/>
    </x:row>
    <x:row r="30">
      <x:c r="L30" s="36"/>
    </x:row>
  </x:sheetData>
  <x:mergeCells>
    <x:mergeCell ref="A1:L2"/>
    <x:mergeCell ref="A3:C3"/>
    <x:mergeCell ref="D3:F3"/>
    <x:mergeCell ref="G3:I3"/>
    <x:mergeCell ref="J3:L3"/>
    <x:mergeCell ref="A4:C4"/>
    <x:mergeCell ref="D4:F4"/>
    <x:mergeCell ref="G4:I4"/>
    <x:mergeCell ref="J4:L4"/>
    <x:mergeCell ref="A6:L6"/>
    <x:mergeCell ref="A17:L17"/>
    <x:mergeCell ref="A18:B18"/>
    <x:mergeCell ref="C18:D18"/>
    <x:mergeCell ref="E18:F18"/>
    <x:mergeCell ref="G18:H18"/>
    <x:mergeCell ref="A19:B20"/>
    <x:mergeCell ref="C19:D20"/>
    <x:mergeCell ref="E19:F20"/>
    <x:mergeCell ref="G19:H20"/>
  </x:mergeCells>
  <x:conditionalFormatting sqref="I8:I30">
    <x:cfRule type="containsText" dxfId="4" priority="1" operator="containsText" text="OK"/>
    <x:cfRule type="containsText" dxfId="5" priority="2" operator="containsText" text="NG"/>
  </x:conditionalFormatting>
  <x:dataValidations count="1">
    <x:dataValidation type="list" sqref="I8:I30">
      <x:formula1>"未実施,OK,NG,保留"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26" hidden="0" customWidth="1"/>
    <x:col min="5" max="5" width="50" hidden="0" customWidth="1"/>
    <x:col min="6" max="6" width="50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</x:cols>
  <x:sheetData>
    <x:row r="1">
      <x:c r="A1" s="20" t="str">
        <x:v>設計・Coding Review記録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3" t="str">
        <x:v>システム名</x:v>
      </x:c>
      <x:c r="B3" s="23"/>
      <x:c r="C3" s="23"/>
      <x:c r="D3" s="21" t="str">
        <x:v>Company WorkHub</x:v>
      </x:c>
      <x:c r="E3" s="21"/>
      <x:c r="F3" s="21"/>
      <x:c r="G3" s="23" t="str">
        <x:v>文書番号</x:v>
      </x:c>
      <x:c r="H3" s="23"/>
      <x:c r="I3" s="23"/>
      <x:c r="J3" s="21" t="str">
        <x:v>CW-EDU-005</x:v>
      </x:c>
      <x:c r="K3" s="21"/>
      <x:c r="L3" s="21"/>
    </x:row>
    <x:row r="4">
      <x:c r="A4" s="23" t="str">
        <x:v>版数</x:v>
      </x:c>
      <x:c r="B4" s="23"/>
      <x:c r="C4" s="23"/>
      <x:c r="D4" s="21" t="str">
        <x:v>Ver.1.8</x:v>
      </x:c>
      <x:c r="E4" s="21"/>
      <x:c r="F4" s="21"/>
      <x:c r="G4" s="23" t="str">
        <x:v>作成日</x:v>
      </x:c>
      <x:c r="H4" s="23"/>
      <x:c r="I4" s="23"/>
      <x:c r="J4" s="24" t="n">
        <x:v>46239</x:v>
      </x:c>
      <x:c r="K4" s="24"/>
      <x:c r="L4" s="24"/>
    </x:row>
    <x:row r="6" ht="22" customHeight="1">
      <x:c r="A6" s="26" t="str">
        <x:v>1. Review指摘</x:v>
      </x:c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</x:row>
    <x:row r="7">
      <x:c r="A7" s="31" t="str">
        <x:v>指摘No.</x:v>
      </x:c>
      <x:c r="B7" s="31" t="str">
        <x:v>Phase</x:v>
      </x:c>
      <x:c r="C7" s="31" t="str">
        <x:v>対象</x:v>
      </x:c>
      <x:c r="D7" s="31" t="str">
        <x:v>対象ID/セル</x:v>
      </x:c>
      <x:c r="E7" s="31" t="str">
        <x:v>指摘内容</x:v>
      </x:c>
      <x:c r="F7" s="31" t="str">
        <x:v>対応内容</x:v>
      </x:c>
      <x:c r="G7" s="31" t="str">
        <x:v>Status</x:v>
      </x:c>
      <x:c r="H7" s="31" t="str">
        <x:v>重要度</x:v>
      </x:c>
      <x:c r="I7" s="31" t="str">
        <x:v>指摘者</x:v>
      </x:c>
      <x:c r="J7" s="31" t="str">
        <x:v>担当</x:v>
      </x:c>
      <x:c r="K7" s="31" t="str">
        <x:v>期限</x:v>
      </x:c>
      <x:c r="L7" s="31" t="str">
        <x:v>再確認</x:v>
      </x:c>
    </x:row>
    <x:row r="8">
      <x:c r="A8" s="33" t="str">
        <x:v>RVW-001</x:v>
      </x:c>
      <x:c r="B8" s="33" t="str">
        <x:v>基本設計</x:v>
      </x:c>
      <x:c r="C8" s="33" t="str">
        <x:v>20_API主要項目処理</x:v>
      </x:c>
      <x:c r="D8" s="33" t="str">
        <x:v>API-TASK-005</x:v>
      </x:c>
      <x:c r="E8" s="33" t="str">
        <x:v>状態更新トランザクションの範囲を確認</x:v>
      </x:c>
      <x:c r="F8" s="33" t="str">
        <x:v>Task/履歴/通知/PJ進捗を同一トランザクションと明記</x:v>
      </x:c>
      <x:c r="G8" s="33" t="str">
        <x:v>確認待ち</x:v>
      </x:c>
      <x:c r="H8" s="33" t="str">
        <x:v>高</x:v>
      </x:c>
      <x:c r="I8" s="33" t="str">
        <x:v>講師</x:v>
      </x:c>
      <x:c r="J8" s="33" t="str">
        <x:v>学員C</x:v>
      </x:c>
      <x:c r="K8" s="34" t="n">
        <x:v>46246</x:v>
      </x:c>
      <x:c r="L8" s="33" t="str"/>
    </x:row>
    <x:row r="9">
      <x:c r="A9" s="33" t="str">
        <x:v>RVW-002</x:v>
      </x:c>
      <x:c r="B9" s="33" t="str">
        <x:v>詳細設計</x:v>
      </x:c>
      <x:c r="C9" s="33" t="str">
        <x:v>09_DB詳細設計</x:v>
      </x:c>
      <x:c r="D9" s="33" t="str">
        <x:v>daily_reports UK</x:v>
      </x:c>
      <x:c r="E9" s="33" t="str">
        <x:v>論理削除後の再登録方針を決定</x:v>
      </x:c>
      <x:c r="F9" s="33" t="str">
        <x:v>未対応</x:v>
      </x:c>
      <x:c r="G9" s="33" t="str">
        <x:v>未対応</x:v>
      </x:c>
      <x:c r="H9" s="33" t="str">
        <x:v>中</x:v>
      </x:c>
      <x:c r="I9" s="33" t="str">
        <x:v>講師</x:v>
      </x:c>
      <x:c r="J9" s="33" t="str">
        <x:v>学員E</x:v>
      </x:c>
      <x:c r="K9" s="34" t="n">
        <x:v>46249</x:v>
      </x:c>
      <x:c r="L9" s="33" t="str"/>
    </x:row>
    <x:row r="10">
      <x:c r="K10" s="36"/>
    </x:row>
    <x:row r="11">
      <x:c r="K11" s="36"/>
    </x:row>
    <x:row r="12">
      <x:c r="K12" s="36"/>
    </x:row>
    <x:row r="13">
      <x:c r="K13" s="36"/>
    </x:row>
    <x:row r="14">
      <x:c r="K14" s="36"/>
    </x:row>
    <x:row r="15">
      <x:c r="K15" s="36"/>
    </x:row>
    <x:row r="16">
      <x:c r="K16" s="36"/>
    </x:row>
    <x:row r="17">
      <x:c r="K17" s="36"/>
    </x:row>
    <x:row r="18">
      <x:c r="K18" s="36"/>
    </x:row>
    <x:row r="19">
      <x:c r="K19" s="36"/>
    </x:row>
    <x:row r="20">
      <x:c r="K20" s="36"/>
    </x:row>
    <x:row r="21">
      <x:c r="K21" s="36"/>
    </x:row>
    <x:row r="22">
      <x:c r="K22" s="36"/>
    </x:row>
    <x:row r="23">
      <x:c r="K23" s="36"/>
    </x:row>
    <x:row r="24">
      <x:c r="K24" s="36"/>
    </x:row>
    <x:row r="25">
      <x:c r="K25" s="36"/>
    </x:row>
    <x:row r="26">
      <x:c r="K26" s="36"/>
    </x:row>
    <x:row r="27">
      <x:c r="K27" s="36"/>
    </x:row>
    <x:row r="28">
      <x:c r="K28" s="36"/>
    </x:row>
    <x:row r="29">
      <x:c r="K29" s="36"/>
    </x:row>
    <x:row r="30">
      <x:c r="K30" s="36"/>
    </x:row>
  </x:sheetData>
  <x:mergeCells>
    <x:mergeCell ref="A1:L2"/>
    <x:mergeCell ref="A3:C3"/>
    <x:mergeCell ref="D3:F3"/>
    <x:mergeCell ref="G3:I3"/>
    <x:mergeCell ref="J3:L3"/>
    <x:mergeCell ref="A4:C4"/>
    <x:mergeCell ref="D4:F4"/>
    <x:mergeCell ref="G4:I4"/>
    <x:mergeCell ref="J4:L4"/>
    <x:mergeCell ref="A6:L6"/>
  </x:mergeCells>
  <x:dataValidations count="2">
    <x:dataValidation type="list" sqref="G8:G30">
      <x:formula1>"未対応,対応中,確認待ち,完了"</x:formula1>
    </x:dataValidation>
    <x:dataValidation type="list" sqref="H8:H30">
      <x:formula1>"高,中,低"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4" hidden="0" customWidth="1"/>
    <x:col min="3" max="3" width="30" hidden="0" customWidth="1"/>
    <x:col min="4" max="4" width="54" hidden="0" customWidth="1"/>
    <x:col min="5" max="5" width="16" hidden="0" customWidth="1"/>
    <x:col min="6" max="6" width="34" hidden="0" customWidth="1"/>
    <x:col min="7" max="7" width="18" hidden="0" customWidth="1"/>
    <x:col min="8" max="8" width="24" hidden="0" customWidth="1"/>
  </x:cols>
  <x:sheetData>
    <x:row r="1">
      <x:c r="A1" s="20" t="str">
        <x:v>プロジェクト受入条件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CW-EDU-006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Acceptance Criteria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No.</x:v>
      </x:c>
      <x:c r="B7" s="31" t="str">
        <x:v>受入条件</x:v>
      </x:c>
      <x:c r="C7" s="31" t="str">
        <x:v>確認方法</x:v>
      </x:c>
      <x:c r="D7" s="31" t="str">
        <x:v>期待結果</x:v>
      </x:c>
      <x:c r="E7" s="31" t="str">
        <x:v>Status</x:v>
      </x:c>
      <x:c r="F7" s="31" t="str">
        <x:v>証跡</x:v>
      </x:c>
      <x:c r="G7" s="31" t="str">
        <x:v>確認者</x:v>
      </x:c>
      <x:c r="H7" s="31" t="str">
        <x:v>備考</x:v>
      </x:c>
    </x:row>
    <x:row r="8">
      <x:c r="A8" s="33" t="n">
        <x:v>1</x:v>
      </x:c>
      <x:c r="B8" s="33" t="str">
        <x:v>Login/Logout可能</x:v>
      </x:c>
      <x:c r="C8" s="33" t="str">
        <x:v>結合/受入試験</x:v>
      </x:c>
      <x:c r="D8" s="33" t="str">
        <x:v>Login/Logout可能</x:v>
      </x:c>
      <x:c r="E8" s="33" t="str">
        <x:v>未確認</x:v>
      </x:c>
      <x:c r="F8" s="33" t="str"/>
      <x:c r="G8" s="33" t="str"/>
      <x:c r="H8" s="33" t="str"/>
    </x:row>
    <x:row r="9">
      <x:c r="A9" s="33" t="n">
        <x:v>2</x:v>
      </x:c>
      <x:c r="B9" s="33" t="str">
        <x:v>Token期限後Refresh可能</x:v>
      </x:c>
      <x:c r="C9" s="33" t="str">
        <x:v>結合/受入試験</x:v>
      </x:c>
      <x:c r="D9" s="33" t="str">
        <x:v>Token期限後Refresh可能</x:v>
      </x:c>
      <x:c r="E9" s="33" t="str">
        <x:v>未確認</x:v>
      </x:c>
      <x:c r="F9" s="33" t="str"/>
      <x:c r="G9" s="33" t="str"/>
      <x:c r="H9" s="33" t="str"/>
    </x:row>
    <x:row r="10">
      <x:c r="A10" s="33" t="n">
        <x:v>3</x:v>
      </x:c>
      <x:c r="B10" s="33" t="str">
        <x:v>Role別Menu表示</x:v>
      </x:c>
      <x:c r="C10" s="33" t="str">
        <x:v>結合/受入試験</x:v>
      </x:c>
      <x:c r="D10" s="33" t="str">
        <x:v>Role別Menu表示</x:v>
      </x:c>
      <x:c r="E10" s="33" t="str">
        <x:v>未確認</x:v>
      </x:c>
      <x:c r="F10" s="33" t="str"/>
      <x:c r="G10" s="33" t="str"/>
      <x:c r="H10" s="33" t="str"/>
    </x:row>
    <x:row r="11">
      <x:c r="A11" s="33" t="n">
        <x:v>4</x:v>
      </x:c>
      <x:c r="B11" s="33" t="str">
        <x:v>管理者が社員登録/更新可能</x:v>
      </x:c>
      <x:c r="C11" s="33" t="str">
        <x:v>結合/受入試験</x:v>
      </x:c>
      <x:c r="D11" s="33" t="str">
        <x:v>管理者が社員登録/更新可能</x:v>
      </x:c>
      <x:c r="E11" s="33" t="str">
        <x:v>未確認</x:v>
      </x:c>
      <x:c r="F11" s="33" t="str"/>
      <x:c r="G11" s="33" t="str"/>
      <x:c r="H11" s="33" t="str"/>
    </x:row>
    <x:row r="12">
      <x:c r="A12" s="33" t="n">
        <x:v>5</x:v>
      </x:c>
      <x:c r="B12" s="33" t="str">
        <x:v>社員番号/Email重複不可</x:v>
      </x:c>
      <x:c r="C12" s="33" t="str">
        <x:v>結合/受入試験</x:v>
      </x:c>
      <x:c r="D12" s="33" t="str">
        <x:v>社員番号/Email重複不可</x:v>
      </x:c>
      <x:c r="E12" s="33" t="str">
        <x:v>未確認</x:v>
      </x:c>
      <x:c r="F12" s="33" t="str"/>
      <x:c r="G12" s="33" t="str"/>
      <x:c r="H12" s="33" t="str"/>
    </x:row>
    <x:row r="13">
      <x:c r="A13" s="33" t="n">
        <x:v>6</x:v>
      </x:c>
      <x:c r="B13" s="33" t="str">
        <x:v>部門Tree保守可能</x:v>
      </x:c>
      <x:c r="C13" s="33" t="str">
        <x:v>結合/受入試験</x:v>
      </x:c>
      <x:c r="D13" s="33" t="str">
        <x:v>部門Tree保守可能</x:v>
      </x:c>
      <x:c r="E13" s="33" t="str">
        <x:v>未確認</x:v>
      </x:c>
      <x:c r="F13" s="33" t="str"/>
      <x:c r="G13" s="33" t="str"/>
      <x:c r="H13" s="33" t="str"/>
    </x:row>
    <x:row r="14">
      <x:c r="A14" s="33" t="n">
        <x:v>7</x:v>
      </x:c>
      <x:c r="B14" s="33" t="str">
        <x:v>PMがPJ Member保守可能</x:v>
      </x:c>
      <x:c r="C14" s="33" t="str">
        <x:v>結合/受入試験</x:v>
      </x:c>
      <x:c r="D14" s="33" t="str">
        <x:v>PMがPJ Member保守可能</x:v>
      </x:c>
      <x:c r="E14" s="33" t="str">
        <x:v>未確認</x:v>
      </x:c>
      <x:c r="F14" s="33" t="str"/>
      <x:c r="G14" s="33" t="str"/>
      <x:c r="H14" s="33" t="str"/>
    </x:row>
    <x:row r="15">
      <x:c r="A15" s="33" t="n">
        <x:v>8</x:v>
      </x:c>
      <x:c r="B15" s="33" t="str">
        <x:v>非MemberをTask担当にできない</x:v>
      </x:c>
      <x:c r="C15" s="33" t="str">
        <x:v>結合/受入試験</x:v>
      </x:c>
      <x:c r="D15" s="33" t="str">
        <x:v>非MemberをTask担当にできない</x:v>
      </x:c>
      <x:c r="E15" s="33" t="str">
        <x:v>未確認</x:v>
      </x:c>
      <x:c r="F15" s="33" t="str"/>
      <x:c r="G15" s="33" t="str"/>
      <x:c r="H15" s="33" t="str"/>
    </x:row>
    <x:row r="16">
      <x:c r="A16" s="33" t="n">
        <x:v>9</x:v>
      </x:c>
      <x:c r="B16" s="33" t="str">
        <x:v>Task状態不正遷移不可</x:v>
      </x:c>
      <x:c r="C16" s="33" t="str">
        <x:v>結合/受入試験</x:v>
      </x:c>
      <x:c r="D16" s="33" t="str">
        <x:v>Task状態不正遷移不可</x:v>
      </x:c>
      <x:c r="E16" s="33" t="str">
        <x:v>未確認</x:v>
      </x:c>
      <x:c r="F16" s="33" t="str"/>
      <x:c r="G16" s="33" t="str"/>
      <x:c r="H16" s="33" t="str"/>
    </x:row>
    <x:row r="17">
      <x:c r="A17" s="33" t="n">
        <x:v>10</x:v>
      </x:c>
      <x:c r="B17" s="33" t="str">
        <x:v>一般社員は直接Task完了不可</x:v>
      </x:c>
      <x:c r="C17" s="33" t="str">
        <x:v>結合/受入試験</x:v>
      </x:c>
      <x:c r="D17" s="33" t="str">
        <x:v>一般社員は直接Task完了不可</x:v>
      </x:c>
      <x:c r="E17" s="33" t="str">
        <x:v>未確認</x:v>
      </x:c>
      <x:c r="F17" s="33" t="str"/>
      <x:c r="G17" s="33" t="str"/>
      <x:c r="H17" s="33" t="str"/>
    </x:row>
    <x:row r="18">
      <x:c r="A18" s="33" t="n">
        <x:v>11</x:v>
      </x:c>
      <x:c r="B18" s="33" t="str">
        <x:v>PMがTask完了承認可能</x:v>
      </x:c>
      <x:c r="C18" s="33" t="str">
        <x:v>結合/受入試験</x:v>
      </x:c>
      <x:c r="D18" s="33" t="str">
        <x:v>PMがTask完了承認可能</x:v>
      </x:c>
      <x:c r="E18" s="33" t="str">
        <x:v>未確認</x:v>
      </x:c>
      <x:c r="F18" s="33" t="str"/>
      <x:c r="G18" s="33" t="str"/>
      <x:c r="H18" s="33" t="str"/>
    </x:row>
    <x:row r="19">
      <x:c r="A19" s="33" t="n">
        <x:v>12</x:v>
      </x:c>
      <x:c r="B19" s="33" t="str">
        <x:v>Task並行更新でConflict表示</x:v>
      </x:c>
      <x:c r="C19" s="33" t="str">
        <x:v>結合/受入試験</x:v>
      </x:c>
      <x:c r="D19" s="33" t="str">
        <x:v>Task並行更新でConflict表示</x:v>
      </x:c>
      <x:c r="E19" s="33" t="str">
        <x:v>未確認</x:v>
      </x:c>
      <x:c r="F19" s="33" t="str"/>
      <x:c r="G19" s="33" t="str"/>
      <x:c r="H19" s="33" t="str"/>
    </x:row>
    <x:row r="20">
      <x:c r="A20" s="33" t="n">
        <x:v>13</x:v>
      </x:c>
      <x:c r="B20" s="33" t="str">
        <x:v>社員同日の日報重複不可</x:v>
      </x:c>
      <x:c r="C20" s="33" t="str">
        <x:v>結合/受入試験</x:v>
      </x:c>
      <x:c r="D20" s="33" t="str">
        <x:v>社員同日の日報重複不可</x:v>
      </x:c>
      <x:c r="E20" s="33" t="str">
        <x:v>未確認</x:v>
      </x:c>
      <x:c r="F20" s="33" t="str"/>
      <x:c r="G20" s="33" t="str"/>
      <x:c r="H20" s="33" t="str"/>
    </x:row>
    <x:row r="21">
      <x:c r="A21" s="33" t="n">
        <x:v>14</x:v>
      </x:c>
      <x:c r="B21" s="33" t="str">
        <x:v>PMは担当PJ日報のみ参照</x:v>
      </x:c>
      <x:c r="C21" s="33" t="str">
        <x:v>結合/受入試験</x:v>
      </x:c>
      <x:c r="D21" s="33" t="str">
        <x:v>PMは担当PJ日報のみ参照</x:v>
      </x:c>
      <x:c r="E21" s="33" t="str">
        <x:v>未確認</x:v>
      </x:c>
      <x:c r="F21" s="33" t="str"/>
      <x:c r="G21" s="33" t="str"/>
      <x:c r="H21" s="33" t="str"/>
    </x:row>
    <x:row r="22">
      <x:c r="A22" s="33" t="n">
        <x:v>15</x:v>
      </x:c>
      <x:c r="B22" s="33" t="str">
        <x:v>添付の種類/Size検証</x:v>
      </x:c>
      <x:c r="C22" s="33" t="str">
        <x:v>結合/受入試験</x:v>
      </x:c>
      <x:c r="D22" s="33" t="str">
        <x:v>添付の種類/Size検証</x:v>
      </x:c>
      <x:c r="E22" s="33" t="str">
        <x:v>未確認</x:v>
      </x:c>
      <x:c r="F22" s="33" t="str"/>
      <x:c r="G22" s="33" t="str"/>
      <x:c r="H22" s="33" t="str"/>
    </x:row>
    <x:row r="23">
      <x:c r="A23" s="33" t="n">
        <x:v>16</x:v>
      </x:c>
      <x:c r="B23" s="33" t="str">
        <x:v>重要操作Log記録</x:v>
      </x:c>
      <x:c r="C23" s="33" t="str">
        <x:v>結合/受入試験</x:v>
      </x:c>
      <x:c r="D23" s="33" t="str">
        <x:v>重要操作Log記録</x:v>
      </x:c>
      <x:c r="E23" s="33" t="str">
        <x:v>未確認</x:v>
      </x:c>
      <x:c r="F23" s="33" t="str"/>
      <x:c r="G23" s="33" t="str"/>
      <x:c r="H23" s="33" t="str"/>
    </x:row>
    <x:row r="24">
      <x:c r="A24" s="33" t="n">
        <x:v>17</x:v>
      </x:c>
      <x:c r="B24" s="33" t="str">
        <x:v>期限前Task通知</x:v>
      </x:c>
      <x:c r="C24" s="33" t="str">
        <x:v>結合/受入試験</x:v>
      </x:c>
      <x:c r="D24" s="33" t="str">
        <x:v>期限前Task通知</x:v>
      </x:c>
      <x:c r="E24" s="33" t="str">
        <x:v>未確認</x:v>
      </x:c>
      <x:c r="F24" s="33" t="str"/>
      <x:c r="G24" s="33" t="str"/>
      <x:c r="H24" s="33" t="str"/>
    </x:row>
    <x:row r="25">
      <x:c r="A25" s="33" t="n">
        <x:v>18</x:v>
      </x:c>
      <x:c r="B25" s="33" t="str">
        <x:v>遅延Task通知</x:v>
      </x:c>
      <x:c r="C25" s="33" t="str">
        <x:v>結合/受入試験</x:v>
      </x:c>
      <x:c r="D25" s="33" t="str">
        <x:v>遅延Task通知</x:v>
      </x:c>
      <x:c r="E25" s="33" t="str">
        <x:v>未確認</x:v>
      </x:c>
      <x:c r="F25" s="33" t="str"/>
      <x:c r="G25" s="33" t="str"/>
      <x:c r="H25" s="33" t="str"/>
    </x:row>
    <x:row r="26">
      <x:c r="A26" s="33" t="n">
        <x:v>19</x:v>
      </x:c>
      <x:c r="B26" s="33" t="str">
        <x:v>日報未提出通知</x:v>
      </x:c>
      <x:c r="C26" s="33" t="str">
        <x:v>結合/受入試験</x:v>
      </x:c>
      <x:c r="D26" s="33" t="str">
        <x:v>日報未提出通知</x:v>
      </x:c>
      <x:c r="E26" s="33" t="str">
        <x:v>未確認</x:v>
      </x:c>
      <x:c r="F26" s="33" t="str"/>
      <x:c r="G26" s="33" t="str"/>
      <x:c r="H26" s="33" t="str"/>
    </x:row>
    <x:row r="27">
      <x:c r="A27" s="33" t="n">
        <x:v>20</x:v>
      </x:c>
      <x:c r="B27" s="33" t="str">
        <x:v>Docker Composeで起動</x:v>
      </x:c>
      <x:c r="C27" s="33" t="str">
        <x:v>結合/受入試験</x:v>
      </x:c>
      <x:c r="D27" s="33" t="str">
        <x:v>Docker Composeで起動</x:v>
      </x:c>
      <x:c r="E27" s="33" t="str">
        <x:v>未確認</x:v>
      </x:c>
      <x:c r="F27" s="33" t="str"/>
      <x:c r="G27" s="33" t="str"/>
      <x:c r="H27" s="33" t="str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62" hidden="0" customWidth="1"/>
    <x:col min="3" max="3" width="52" hidden="0" customWidth="1"/>
    <x:col min="4" max="4" width="44" hidden="0" customWidth="1"/>
    <x:col min="5" max="5" width="26" hidden="0" customWidth="1"/>
    <x:col min="6" max="6" width="22" hidden="0" customWidth="1"/>
  </x:cols>
  <x:sheetData>
    <x:row r="1">
      <x:c r="A1" s="20" t="str">
        <x:v>設計・実装注意事項</x:v>
      </x:c>
      <x:c r="B1" s="20"/>
      <x:c r="C1" s="20"/>
      <x:c r="D1" s="20"/>
      <x:c r="E1" s="20"/>
      <x:c r="F1" s="20"/>
    </x:row>
    <x:row r="2">
      <x:c r="A2" s="20"/>
      <x:c r="B2" s="20"/>
      <x:c r="C2" s="20"/>
      <x:c r="D2" s="20"/>
      <x:c r="E2" s="20"/>
      <x:c r="F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t="str">
        <x:v>CW-EDU-007</x:v>
      </x:c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35"/>
      <x:c r="G4" s="36" t="n">
        <x:v>46239</x:v>
      </x:c>
    </x:row>
    <x:row r="6" ht="22" customHeight="1">
      <x:c r="A6" s="26" t="str">
        <x:v>1. 必須注意事項</x:v>
      </x:c>
      <x:c r="B6" s="26"/>
      <x:c r="C6" s="26"/>
      <x:c r="D6" s="26"/>
      <x:c r="E6" s="26"/>
      <x:c r="F6" s="26"/>
    </x:row>
    <x:row r="7">
      <x:c r="A7" s="31" t="str">
        <x:v>No.</x:v>
      </x:c>
      <x:c r="B7" s="31" t="str">
        <x:v>禁止/注意事項</x:v>
      </x:c>
      <x:c r="C7" s="31" t="str">
        <x:v>理由</x:v>
      </x:c>
      <x:c r="D7" s="31" t="str">
        <x:v>Review観点</x:v>
      </x:c>
      <x:c r="E7" s="31" t="str">
        <x:v>該当設計</x:v>
      </x:c>
      <x:c r="F7" s="31" t="str">
        <x:v>備考</x:v>
      </x:c>
    </x:row>
    <x:row r="8">
      <x:c r="A8" s="33" t="n">
        <x:v>1</x:v>
      </x:c>
      <x:c r="B8" s="33" t="str">
        <x:v>Controllerに直接SQLを書かない</x:v>
      </x:c>
      <x:c r="C8" s="33" t="str">
        <x:v>Security・整合性・保守性を確保</x:v>
      </x:c>
      <x:c r="D8" s="33" t="str">
        <x:v>詳細設計/Coding/Testで確認</x:v>
      </x:c>
      <x:c r="E8" s="33" t="str">
        <x:v>共通</x:v>
      </x:c>
      <x:c r="F8" s="33" t="str"/>
    </x:row>
    <x:row r="9">
      <x:c r="A9" s="33" t="n">
        <x:v>2</x:v>
      </x:c>
      <x:c r="B9" s="33" t="str">
        <x:v>Controllerで全業務判断を完結しない</x:v>
      </x:c>
      <x:c r="C9" s="33" t="str">
        <x:v>Security・整合性・保守性を確保</x:v>
      </x:c>
      <x:c r="D9" s="33" t="str">
        <x:v>詳細設計/Coding/Testで確認</x:v>
      </x:c>
      <x:c r="E9" s="33" t="str">
        <x:v>共通</x:v>
      </x:c>
      <x:c r="F9" s="33" t="str"/>
    </x:row>
    <x:row r="10">
      <x:c r="A10" s="33" t="n">
        <x:v>3</x:v>
      </x:c>
      <x:c r="B10" s="33" t="str">
        <x:v>Entityを直接Responseにしない</x:v>
      </x:c>
      <x:c r="C10" s="33" t="str">
        <x:v>Security・整合性・保守性を確保</x:v>
      </x:c>
      <x:c r="D10" s="33" t="str">
        <x:v>詳細設計/Coding/Testで確認</x:v>
      </x:c>
      <x:c r="E10" s="33" t="str">
        <x:v>共通</x:v>
      </x:c>
      <x:c r="F10" s="33" t="str"/>
    </x:row>
    <x:row r="11">
      <x:c r="A11" s="33" t="n">
        <x:v>4</x:v>
      </x:c>
      <x:c r="B11" s="33" t="str">
        <x:v>Passwordを平文保存しない</x:v>
      </x:c>
      <x:c r="C11" s="33" t="str">
        <x:v>Security・整合性・保守性を確保</x:v>
      </x:c>
      <x:c r="D11" s="33" t="str">
        <x:v>詳細設計/Coding/Testで確認</x:v>
      </x:c>
      <x:c r="E11" s="33" t="str">
        <x:v>共通</x:v>
      </x:c>
      <x:c r="F11" s="33" t="str"/>
    </x:row>
    <x:row r="12">
      <x:c r="A12" s="33" t="n">
        <x:v>5</x:v>
      </x:c>
      <x:c r="B12" s="33" t="str">
        <x:v>フロントエンドだけで権限を制御しない</x:v>
      </x:c>
      <x:c r="C12" s="33" t="str">
        <x:v>Security・整合性・保守性を確保</x:v>
      </x:c>
      <x:c r="D12" s="33" t="str">
        <x:v>詳細設計/Coding/Testで確認</x:v>
      </x:c>
      <x:c r="E12" s="33" t="str">
        <x:v>共通</x:v>
      </x:c>
      <x:c r="F12" s="33" t="str"/>
    </x:row>
    <x:row r="13">
      <x:c r="A13" s="33" t="n">
        <x:v>6</x:v>
      </x:c>
      <x:c r="B13" s="33" t="str">
        <x:v>主要業務Dataを物理削除しない</x:v>
      </x:c>
      <x:c r="C13" s="33" t="str">
        <x:v>Security・整合性・保守性を確保</x:v>
      </x:c>
      <x:c r="D13" s="33" t="str">
        <x:v>詳細設計/Coding/Testで確認</x:v>
      </x:c>
      <x:c r="E13" s="33" t="str">
        <x:v>共通</x:v>
      </x:c>
      <x:c r="F13" s="33" t="str"/>
    </x:row>
    <x:row r="14">
      <x:c r="A14" s="33" t="n">
        <x:v>7</x:v>
      </x:c>
      <x:c r="B14" s="33" t="str">
        <x:v>トランザクションを無視しない</x:v>
      </x:c>
      <x:c r="C14" s="33" t="str">
        <x:v>Security・整合性・保守性を確保</x:v>
      </x:c>
      <x:c r="D14" s="33" t="str">
        <x:v>詳細設計/Coding/Testで確認</x:v>
      </x:c>
      <x:c r="E14" s="33" t="str">
        <x:v>共通</x:v>
      </x:c>
      <x:c r="F14" s="33" t="str"/>
    </x:row>
    <x:row r="15">
      <x:c r="A15" s="33" t="n">
        <x:v>8</x:v>
      </x:c>
      <x:c r="B15" s="33" t="str">
        <x:v>並行更新を無視しない</x:v>
      </x:c>
      <x:c r="C15" s="33" t="str">
        <x:v>Security・整合性・保守性を確保</x:v>
      </x:c>
      <x:c r="D15" s="33" t="str">
        <x:v>詳細設計/Coding/Testで確認</x:v>
      </x:c>
      <x:c r="E15" s="33" t="str">
        <x:v>共通</x:v>
      </x:c>
      <x:c r="F15" s="33" t="str"/>
    </x:row>
    <x:row r="16">
      <x:c r="A16" s="33" t="n">
        <x:v>9</x:v>
      </x:c>
      <x:c r="B16" s="33" t="str">
        <x:v>正常系だけを設計しない</x:v>
      </x:c>
      <x:c r="C16" s="33" t="str">
        <x:v>Security・整合性・保守性を確保</x:v>
      </x:c>
      <x:c r="D16" s="33" t="str">
        <x:v>詳細設計/Coding/Testで確認</x:v>
      </x:c>
      <x:c r="E16" s="33" t="str">
        <x:v>共通</x:v>
      </x:c>
      <x:c r="F16" s="33" t="str"/>
    </x:row>
    <x:row r="17">
      <x:c r="A17" s="33" t="n">
        <x:v>10</x:v>
      </x:c>
      <x:c r="B17" s="33" t="str">
        <x:v>全ExceptionをHTTP 200で返さない</x:v>
      </x:c>
      <x:c r="C17" s="33" t="str">
        <x:v>Security・整合性・保守性を確保</x:v>
      </x:c>
      <x:c r="D17" s="33" t="str">
        <x:v>詳細設計/Coding/Testで確認</x:v>
      </x:c>
      <x:c r="E17" s="33" t="str">
        <x:v>共通</x:v>
      </x:c>
      <x:c r="F17" s="33" t="str"/>
    </x:row>
    <x:row r="18">
      <x:c r="A18" s="33" t="n">
        <x:v>11</x:v>
      </x:c>
      <x:c r="B18" s="33" t="str">
        <x:v>LogへPassword/Tokenを出力しない</x:v>
      </x:c>
      <x:c r="C18" s="33" t="str">
        <x:v>Security・整合性・保守性を確保</x:v>
      </x:c>
      <x:c r="D18" s="33" t="str">
        <x:v>詳細設計/Coding/Testで確認</x:v>
      </x:c>
      <x:c r="E18" s="33" t="str">
        <x:v>共通</x:v>
      </x:c>
      <x:c r="F18" s="33" t="str"/>
    </x:row>
    <x:row r="19">
      <x:c r="A19" s="33" t="n">
        <x:v>12</x:v>
      </x:c>
      <x:c r="B19" s="33" t="str">
        <x:v>操作User IDをフロントエンド入力で決定しない</x:v>
      </x:c>
      <x:c r="C19" s="33" t="str">
        <x:v>Security・整合性・保守性を確保</x:v>
      </x:c>
      <x:c r="D19" s="33" t="str">
        <x:v>詳細設計/Coding/Testで確認</x:v>
      </x:c>
      <x:c r="E19" s="33" t="str">
        <x:v>共通</x:v>
      </x:c>
      <x:c r="F19" s="33" t="str"/>
    </x:row>
    <x:row r="20">
      <x:c r="A20" s="33" t="n">
        <x:v>13</x:v>
      </x:c>
      <x:c r="B20" s="33" t="str">
        <x:v>作成者/更新者/日時をフロントエンドに決定させない</x:v>
      </x:c>
      <x:c r="C20" s="33" t="str">
        <x:v>Security・整合性・保守性を確保</x:v>
      </x:c>
      <x:c r="D20" s="33" t="str">
        <x:v>詳細設計/Coding/Testで確認</x:v>
      </x:c>
      <x:c r="E20" s="33" t="str">
        <x:v>共通</x:v>
      </x:c>
      <x:c r="F20" s="33" t="str"/>
    </x:row>
    <x:row r="21">
      <x:c r="A21" s="33" t="n">
        <x:v>14</x:v>
      </x:c>
      <x:c r="B21" s="33" t="str">
        <x:v>フロントエンドのRole/権限情報を信頼しない</x:v>
      </x:c>
      <x:c r="C21" s="33" t="str">
        <x:v>Security・整合性・保守性を確保</x:v>
      </x:c>
      <x:c r="D21" s="33" t="str">
        <x:v>詳細設計/Coding/Testで確認</x:v>
      </x:c>
      <x:c r="E21" s="33" t="str">
        <x:v>共通</x:v>
      </x:c>
      <x:c r="F21" s="33" t="str"/>
    </x:row>
    <x:row r="22">
      <x:c r="A22" s="33" t="n">
        <x:v>15</x:v>
      </x:c>
      <x:c r="B22" s="33" t="str">
        <x:v>File拡張子だけで種類を判定しない</x:v>
      </x:c>
      <x:c r="C22" s="33" t="str">
        <x:v>Security・整合性・保守性を確保</x:v>
      </x:c>
      <x:c r="D22" s="33" t="str">
        <x:v>詳細設計/Coding/Testで確認</x:v>
      </x:c>
      <x:c r="E22" s="33" t="str">
        <x:v>共通</x:v>
      </x:c>
      <x:c r="F22" s="33" t="str"/>
    </x:row>
    <x:row r="24">
      <x:c r="A24" s="17" t="str">
        <x:v>詳細設計はClass名やMethod名の列挙だけでなく、入力、検証、検索、判断、更新、トランザクション、異常、Response、Log、Test項目を具体化する。</x:v>
      </x:c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</x:sheetData>
  <x:mergeCells>
    <x:mergeCell ref="A1:F2"/>
    <x:mergeCell ref="A3:B3"/>
    <x:mergeCell ref="C3:D3"/>
    <x:mergeCell ref="E3:F3"/>
    <x:mergeCell ref="F3:G3"/>
    <x:mergeCell ref="A4:B4"/>
    <x:mergeCell ref="C4:D4"/>
    <x:mergeCell ref="E4:F4"/>
    <x:mergeCell ref="F4:G4"/>
    <x:mergeCell ref="A6:F6"/>
    <x:mergeCell ref="A24:F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2" hidden="0" customWidth="1"/>
    <x:col min="3" max="3" width="44" hidden="0" customWidth="1"/>
    <x:col min="4" max="4" width="54" hidden="0" customWidth="1"/>
    <x:col min="5" max="5" width="14" hidden="0" customWidth="1"/>
    <x:col min="6" max="6" width="18" hidden="0" customWidth="1"/>
    <x:col min="7" max="7" width="14" hidden="0" customWidth="1"/>
    <x:col min="8" max="8" width="36" hidden="0" customWidth="1"/>
  </x:cols>
  <x:sheetData>
    <x:row r="1">
      <x:c r="A1" s="68" t="str">
        <x:v>基本設計完了判定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CW-EDU-008</x:v>
      </x:c>
      <x:c r="F3" s="63"/>
      <x:c r="G3" s="63"/>
      <x:c r="H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  <x:c r="H4" s="63"/>
    </x:row>
    <x:row r="5">
      <x:c r="A5" s="64"/>
      <x:c r="B5" s="64"/>
      <x:c r="C5" s="64"/>
      <x:c r="D5" s="64"/>
      <x:c r="E5" s="64"/>
      <x:c r="F5" s="64"/>
      <x:c r="G5" s="64"/>
      <x:c r="H5" s="64"/>
    </x:row>
    <x:row r="6">
      <x:c r="A6" s="65" t="str">
        <x:v>1. Phase Gate</x:v>
      </x:c>
      <x:c r="B6" s="65"/>
      <x:c r="C6" s="65"/>
      <x:c r="D6" s="65"/>
      <x:c r="E6" s="65"/>
      <x:c r="F6" s="65"/>
      <x:c r="G6" s="65"/>
      <x:c r="H6" s="65"/>
    </x:row>
    <x:row r="7">
      <x:c r="A7" s="66" t="str">
        <x:v>No.</x:v>
      </x:c>
      <x:c r="B7" s="66" t="str">
        <x:v>判定項目</x:v>
      </x:c>
      <x:c r="C7" s="66" t="str">
        <x:v>確認方法</x:v>
      </x:c>
      <x:c r="D7" s="66" t="str">
        <x:v>期待結果</x:v>
      </x:c>
      <x:c r="E7" s="66" t="str">
        <x:v>状態</x:v>
      </x:c>
      <x:c r="F7" s="66" t="str">
        <x:v>確認者</x:v>
      </x:c>
      <x:c r="G7" s="66" t="str">
        <x:v>確認日</x:v>
      </x:c>
      <x:c r="H7" s="66" t="str">
        <x:v>備考</x:v>
      </x:c>
    </x:row>
    <x:row r="8" ht="30" customHeight="1">
      <x:c r="A8" s="67" t="n">
        <x:v>1</x:v>
      </x:c>
      <x:c r="B8" s="67" t="str">
        <x:v>技術基線統一</x:v>
      </x:c>
      <x:c r="C8" s="67" t="str">
        <x:v>00/01/22/技術選型を照合</x:v>
      </x:c>
      <x:c r="D8" s="67" t="str">
        <x:v>Java17/PostgreSQL16/Eclipse/Vue・Reactが一致</x:v>
      </x:c>
      <x:c r="E8" s="67" t="str">
        <x:v>確認待ち</x:v>
      </x:c>
      <x:c r="F8" s="67" t="str"/>
      <x:c r="G8" s="67" t="str"/>
      <x:c r="H8" s="67" t="str"/>
    </x:row>
    <x:row r="9" ht="30" customHeight="1">
      <x:c r="A9" s="67" t="n">
        <x:v>2</x:v>
      </x:c>
      <x:c r="B9" s="67" t="str">
        <x:v>画面定義完了</x:v>
      </x:c>
      <x:c r="C9" s="67" t="str">
        <x:v>SCR-001～026照合</x:v>
      </x:c>
      <x:c r="D9" s="67" t="str">
        <x:v>項目・Event・APIが定義済</x:v>
      </x:c>
      <x:c r="E9" s="67" t="str">
        <x:v>確認待ち</x:v>
      </x:c>
      <x:c r="F9" s="67" t="str"/>
      <x:c r="G9" s="67" t="str"/>
      <x:c r="H9" s="67" t="str"/>
    </x:row>
    <x:row r="10" ht="30" customHeight="1">
      <x:c r="A10" s="67" t="n">
        <x:v>3</x:v>
      </x:c>
      <x:c r="B10" s="67" t="str">
        <x:v>API契約完了</x:v>
      </x:c>
      <x:c r="C10" s="67" t="str">
        <x:v>全API一覧/契約/Flow照合</x:v>
      </x:c>
      <x:c r="D10" s="67" t="str">
        <x:v>URL/I-O/権限/Table/Errorが定義済</x:v>
      </x:c>
      <x:c r="E10" s="67" t="str">
        <x:v>確認待ち</x:v>
      </x:c>
      <x:c r="F10" s="67" t="str"/>
      <x:c r="G10" s="67" t="str"/>
      <x:c r="H10" s="67" t="str"/>
    </x:row>
    <x:row r="11" ht="30" customHeight="1">
      <x:c r="A11" s="67" t="n">
        <x:v>4</x:v>
      </x:c>
      <x:c r="B11" s="67" t="str">
        <x:v>DB整合</x:v>
      </x:c>
      <x:c r="C11" s="67" t="str">
        <x:v>Table/ER/項目/制約照合</x:v>
      </x:c>
      <x:c r="D11" s="67" t="str">
        <x:v>不一致・未決なし</x:v>
      </x:c>
      <x:c r="E11" s="67" t="str">
        <x:v>確認待ち</x:v>
      </x:c>
      <x:c r="F11" s="67" t="str"/>
      <x:c r="G11" s="67" t="str"/>
      <x:c r="H11" s="67" t="str"/>
    </x:row>
    <x:row r="12" ht="30" customHeight="1">
      <x:c r="A12" s="67" t="n">
        <x:v>5</x:v>
      </x:c>
      <x:c r="B12" s="67" t="str">
        <x:v>追跡性</x:v>
      </x:c>
      <x:c r="C12" s="67" t="str">
        <x:v>05_トレーサビリティ照合</x:v>
      </x:c>
      <x:c r="D12" s="67" t="str">
        <x:v>画面→API→DB→Test追跡可能</x:v>
      </x:c>
      <x:c r="E12" s="67" t="str">
        <x:v>確認待ち</x:v>
      </x:c>
      <x:c r="F12" s="67" t="str"/>
      <x:c r="G12" s="67" t="str"/>
      <x:c r="H12" s="67" t="str"/>
    </x:row>
    <x:row r="13" ht="30" customHeight="1">
      <x:c r="A13" s="67" t="n">
        <x:v>6</x:v>
      </x:c>
      <x:c r="B13" s="67" t="str">
        <x:v>未決事項</x:v>
      </x:c>
      <x:c r="C13" s="67" t="str">
        <x:v>文字検索/Review</x:v>
      </x:c>
      <x:c r="D13" s="67" t="str">
        <x:v>要選定/要確認/関連API等が0件</x:v>
      </x:c>
      <x:c r="E13" s="67" t="str">
        <x:v>確認待ち</x:v>
      </x:c>
      <x:c r="F13" s="67" t="str"/>
      <x:c r="G13" s="67" t="str"/>
      <x:c r="H13" s="67" t="str"/>
    </x:row>
    <x:row r="14" ht="30" customHeight="1">
      <x:c r="A14" s="67" t="n">
        <x:v>7</x:v>
      </x:c>
      <x:c r="B14" s="67" t="str">
        <x:v>Review</x:v>
      </x:c>
      <x:c r="C14" s="67" t="str">
        <x:v>指摘票確認</x:v>
      </x:c>
      <x:c r="D14" s="67" t="str">
        <x:v>重大/中指摘0件、軽微対応方針あり</x:v>
      </x:c>
      <x:c r="E14" s="67" t="str">
        <x:v>確認待ち</x:v>
      </x:c>
      <x:c r="F14" s="67" t="str"/>
      <x:c r="G14" s="67" t="str"/>
      <x:c r="H14" s="67" t="str"/>
    </x:row>
    <x:row r="15" ht="30" customHeight="1">
      <x:c r="A15" s="67" t="n">
        <x:v>8</x:v>
      </x:c>
      <x:c r="B15" s="67" t="str">
        <x:v>Baseline</x:v>
      </x:c>
      <x:c r="C15" s="67" t="str">
        <x:v>版数/改訂履歴</x:v>
      </x:c>
      <x:c r="D15" s="67" t="str">
        <x:v>Leader承認後Ver.1.2固定</x:v>
      </x:c>
      <x:c r="E15" s="67" t="str">
        <x:v>確認待ち</x:v>
      </x:c>
      <x:c r="F15" s="67" t="str"/>
      <x:c r="G15" s="67" t="str"/>
      <x:c r="H15" s="67" t="str"/>
    </x:row>
  </x:sheetData>
  <x:mergeCells>
    <x:mergeCell ref="A1:H2"/>
    <x:mergeCell ref="A6:H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64" hidden="0" customWidth="1"/>
    <x:col min="4" max="4" width="34" hidden="0" customWidth="1"/>
    <x:col min="5" max="5" width="38" hidden="0" customWidth="1"/>
    <x:col min="6" max="6" width="34" hidden="0" customWidth="1"/>
  </x:cols>
  <x:sheetData>
    <x:row r="1">
      <x:c r="A1" s="68" t="str">
        <x:v>結合Test方針</x:v>
      </x:c>
      <x:c r="B1" s="68"/>
      <x:c r="C1" s="68"/>
      <x:c r="D1" s="68"/>
      <x:c r="E1" s="68"/>
      <x:c r="F1" s="68"/>
    </x:row>
    <x:row r="2">
      <x:c r="A2" s="68"/>
      <x:c r="B2" s="68"/>
      <x:c r="C2" s="68"/>
      <x:c r="D2" s="68"/>
      <x:c r="E2" s="68"/>
      <x:c r="F2" s="68"/>
    </x:row>
    <x:row r="3">
      <x:c r="A3" s="62" t="str">
        <x:v>システム名</x:v>
      </x:c>
      <x:c r="B3" s="63" t="str">
        <x:v>Company WorkHub</x:v>
      </x:c>
      <x:c r="C3" s="62" t="str">
        <x:v>文書番号</x:v>
      </x:c>
      <x:c r="D3" s="63" t="str">
        <x:v>CW-EDU-009</x:v>
      </x:c>
      <x:c r="E3" s="63"/>
      <x:c r="F3" s="63"/>
    </x:row>
    <x:row r="4">
      <x:c r="A4" s="62" t="str">
        <x:v>版数</x:v>
      </x:c>
      <x:c r="B4" s="63" t="str">
        <x:v>Ver.1.8</x:v>
      </x:c>
      <x:c r="C4" s="62" t="str">
        <x:v>改訂日</x:v>
      </x:c>
      <x:c r="D4" s="63" t="str">
        <x:v>2026-08-12</x:v>
      </x:c>
      <x:c r="E4" s="63"/>
      <x:c r="F4" s="63"/>
    </x:row>
    <x:row r="5">
      <x:c r="A5" s="64"/>
      <x:c r="B5" s="64"/>
      <x:c r="C5" s="64"/>
      <x:c r="D5" s="64"/>
      <x:c r="E5" s="64"/>
      <x:c r="F5" s="64"/>
    </x:row>
    <x:row r="6">
      <x:c r="A6" s="65" t="str">
        <x:v>1. Integration Test方針</x:v>
      </x:c>
      <x:c r="B6" s="65"/>
      <x:c r="C6" s="65"/>
      <x:c r="D6" s="65"/>
      <x:c r="E6" s="65"/>
      <x:c r="F6" s="65"/>
    </x:row>
    <x:row r="7">
      <x:c r="A7" s="66" t="str">
        <x:v>区分</x:v>
      </x:c>
      <x:c r="B7" s="66" t="str">
        <x:v>対象</x:v>
      </x:c>
      <x:c r="C7" s="66" t="str">
        <x:v>必須観点</x:v>
      </x:c>
      <x:c r="D7" s="66" t="str">
        <x:v>環境/Tool</x:v>
      </x:c>
      <x:c r="E7" s="66" t="str">
        <x:v>証跡</x:v>
      </x:c>
      <x:c r="F7" s="66" t="str">
        <x:v>完了条件</x:v>
      </x:c>
    </x:row>
    <x:row r="8" ht="30" customHeight="1">
      <x:c r="A8" s="67" t="str">
        <x:v>画面-API</x:v>
      </x:c>
      <x:c r="B8" s="67" t="str">
        <x:v>全SCR Event</x:v>
      </x:c>
      <x:c r="C8" s="67" t="str">
        <x:v>I/O Mapping、Validation、Loading、Error、Role</x:v>
      </x:c>
      <x:c r="D8" s="67" t="str">
        <x:v>Browser/Postman</x:v>
      </x:c>
      <x:c r="E8" s="67" t="str">
        <x:v>画面Capture+traceId</x:v>
      </x:c>
      <x:c r="F8" s="67" t="str">
        <x:v>全Case実施/重大NG=0</x:v>
      </x:c>
    </x:row>
    <x:row r="9" ht="30" customHeight="1">
      <x:c r="A9" s="67" t="str">
        <x:v>API-DB</x:v>
      </x:c>
      <x:c r="B9" s="67" t="str">
        <x:v>全更新API</x:v>
      </x:c>
      <x:c r="C9" s="67" t="str">
        <x:v>Transaction、Rollback、Version、Unique、論理削除</x:v>
      </x:c>
      <x:c r="D9" s="67" t="str">
        <x:v>API/PostgreSQL</x:v>
      </x:c>
      <x:c r="E9" s="67" t="str">
        <x:v>Request/Response+DB Before/After</x:v>
      </x:c>
      <x:c r="F9" s="67" t="str">
        <x:v>Data整合</x:v>
      </x:c>
    </x:row>
    <x:row r="10" ht="30" customHeight="1">
      <x:c r="A10" s="67" t="str">
        <x:v>権限</x:v>
      </x:c>
      <x:c r="B10" s="67" t="str">
        <x:v>ADMIN/PM/EMP</x:v>
      </x:c>
      <x:c r="C10" s="67" t="str">
        <x:v>Menu、API 403、Data範囲、越権</x:v>
      </x:c>
      <x:c r="D10" s="67" t="str">
        <x:v>3 Role Test Data</x:v>
      </x:c>
      <x:c r="E10" s="67" t="str">
        <x:v>画面+API Result</x:v>
      </x:c>
      <x:c r="F10" s="67" t="str">
        <x:v>越権0</x:v>
      </x:c>
    </x:row>
    <x:row r="11" ht="30" customHeight="1">
      <x:c r="A11" s="67" t="str">
        <x:v>Batch</x:v>
      </x:c>
      <x:c r="B11" s="67" t="str">
        <x:v>BATCH-001～005</x:v>
      </x:c>
      <x:c r="C11" s="67" t="str">
        <x:v>抽出、重複、Lock、再実行、件数、時刻</x:v>
      </x:c>
      <x:c r="D11" s="67" t="str">
        <x:v>Test Schedule</x:v>
      </x:c>
      <x:c r="E11" s="67" t="str">
        <x:v>Log+DB Before/After</x:v>
      </x:c>
      <x:c r="F11" s="67" t="str">
        <x:v>重複0/再実行可</x:v>
      </x:c>
    </x:row>
    <x:row r="12" ht="30" customHeight="1">
      <x:c r="A12" s="67" t="str">
        <x:v>File</x:v>
      </x:c>
      <x:c r="B12" s="67" t="str">
        <x:v>Upload/Download/Delete</x:v>
      </x:c>
      <x:c r="C12" s="67" t="str">
        <x:v>MIME/Size/Path/権限/補償/Backup</x:v>
      </x:c>
      <x:c r="D12" s="67" t="str">
        <x:v>Test Files</x:v>
      </x:c>
      <x:c r="E12" s="67" t="str">
        <x:v>API+File+DB</x:v>
      </x:c>
      <x:c r="F12" s="67" t="str">
        <x:v>不整合0</x:v>
      </x:c>
    </x:row>
    <x:row r="13" ht="30" customHeight="1">
      <x:c r="A13" s="67" t="str">
        <x:v>Redis</x:v>
      </x:c>
      <x:c r="B13" s="67" t="str">
        <x:v>Token/Cache/Idempotency/Lock</x:v>
      </x:c>
      <x:c r="C13" s="67" t="str">
        <x:v>TTL、Delete、Fallback、Redis停止</x:v>
      </x:c>
      <x:c r="D13" s="67" t="str">
        <x:v>RedisInsight</x:v>
      </x:c>
      <x:c r="E13" s="67" t="str">
        <x:v>Key/Log/API</x:v>
      </x:c>
      <x:c r="F13" s="67" t="str">
        <x:v>主要照会継続</x:v>
      </x:c>
    </x:row>
    <x:row r="14" ht="30" customHeight="1">
      <x:c r="A14" s="67" t="str">
        <x:v>障害/回帰</x:v>
      </x:c>
      <x:c r="B14" s="67" t="str">
        <x:v>DB/Redis/File/Network</x:v>
      </x:c>
      <x:c r="C14" s="67" t="str">
        <x:v>500共通処理、再試行、既存機能回帰</x:v>
      </x:c>
      <x:c r="D14" s="67" t="str">
        <x:v>Docker Compose</x:v>
      </x:c>
      <x:c r="E14" s="67" t="str">
        <x:v>Log+Capture</x:v>
      </x:c>
      <x:c r="F14" s="67" t="str">
        <x:v>重大NG=0</x:v>
      </x:c>
    </x:row>
  </x:sheetData>
  <x:mergeCells>
    <x:mergeCell ref="A1:F2"/>
    <x:mergeCell ref="A6:F6"/>
  </x:mergeCells>
  <x:pageMargins left="0.7" right="0.7" top="0.75" bottom="0.75" header="0.3" footer="0.3"/>
</x:worksheet>
</file>