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80b19d3d1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49676d2e3baa4bec"/>
    <x:sheet xmlns:r="http://schemas.openxmlformats.org/officeDocument/2006/relationships" name="01_改訂履歴" sheetId="2" r:id="Rd1f64f52709a43ff"/>
    <x:sheet xmlns:r="http://schemas.openxmlformats.org/officeDocument/2006/relationships" name="02_対象・方針" sheetId="3" r:id="Rfcd4887d51224f8c"/>
    <x:sheet xmlns:r="http://schemas.openxmlformats.org/officeDocument/2006/relationships" name="03_テスト観点" sheetId="4" r:id="R30dd7d209ce148ad"/>
    <x:sheet xmlns:r="http://schemas.openxmlformats.org/officeDocument/2006/relationships" name="04_テストケース" sheetId="5" r:id="Rd4aed59a24b64bf0"/>
    <x:sheet xmlns:r="http://schemas.openxmlformats.org/officeDocument/2006/relationships" name="05_テストデータ" sheetId="6" r:id="Rf72bf508bcdf4a7e"/>
    <x:sheet xmlns:r="http://schemas.openxmlformats.org/officeDocument/2006/relationships" name="06_証跡管理" sheetId="7" r:id="R259763e3b1844aba"/>
    <x:sheet xmlns:r="http://schemas.openxmlformats.org/officeDocument/2006/relationships" name="07_集計" sheetId="8" r:id="Ra7237141a8a5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%"/>
  </x:numFmts>
  <x:fonts count="14">
    <x:font>
      <x:sz val="11"/>
      <x:name val="Carlito"/>
    </x:font>
    <x:font>
      <x:b/>
      <x:sz val="22"/>
      <x:color rgb="FFFFFFFF"/>
      <x:name val="Yu Gothic"/>
    </x:font>
    <x:font>
      <x:b/>
      <x:sz val="13"/>
      <x:name val="Yu Gothic"/>
    </x:font>
    <x:font>
      <x:b/>
      <x:sz val="11"/>
      <x:name val="Carlito"/>
    </x:font>
    <x:font>
      <x:b/>
      <x:sz val="11"/>
      <x:name val="Yu Gothic"/>
    </x:font>
    <x:font>
      <x:sz val="11"/>
      <x:name val="Yu Gothic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9" fillId="2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6e813ca6f4e3f" /><Relationship Type="http://schemas.openxmlformats.org/officeDocument/2006/relationships/theme" Target="/xl/theme/theme1.xml" Id="R92e57c4e14154107" /><Relationship Type="http://schemas.openxmlformats.org/officeDocument/2006/relationships/sharedStrings" Target="/xl/sharedStrings.xml" Id="R83bea04bb51247cb" /><Relationship Type="http://schemas.openxmlformats.org/officeDocument/2006/relationships/worksheet" Target="/xl/worksheets/sheet1.xml" Id="R49676d2e3baa4bec" /><Relationship Type="http://schemas.openxmlformats.org/officeDocument/2006/relationships/worksheet" Target="/xl/worksheets/sheet2.xml" Id="Rd1f64f52709a43ff" /><Relationship Type="http://schemas.openxmlformats.org/officeDocument/2006/relationships/worksheet" Target="/xl/worksheets/sheet3.xml" Id="Rfcd4887d51224f8c" /><Relationship Type="http://schemas.openxmlformats.org/officeDocument/2006/relationships/worksheet" Target="/xl/worksheets/sheet4.xml" Id="R30dd7d209ce148ad" /><Relationship Type="http://schemas.openxmlformats.org/officeDocument/2006/relationships/worksheet" Target="/xl/worksheets/sheet5.xml" Id="Rd4aed59a24b64bf0" /><Relationship Type="http://schemas.openxmlformats.org/officeDocument/2006/relationships/worksheet" Target="/xl/worksheets/sheet6.xml" Id="Rf72bf508bcdf4a7e" /><Relationship Type="http://schemas.openxmlformats.org/officeDocument/2006/relationships/worksheet" Target="/xl/worksheets/sheet7.xml" Id="R259763e3b1844aba" /><Relationship Type="http://schemas.openxmlformats.org/officeDocument/2006/relationships/worksheet" Target="/xl/worksheets/sheet8.xml" Id="Ra7237141a8a54c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3">
      <x:c r="B3" s="4" t="str">
        <x:v>単体テスト仕様書（サンプル）</x:v>
      </x:c>
      <x:c r="C3" s="4"/>
      <x:c r="D3" s="4"/>
      <x:c r="E3" s="4"/>
      <x:c r="F3" s="4"/>
      <x:c r="G3" s="4"/>
      <x:c r="H3" s="4"/>
    </x:row>
    <x:row r="4">
      <x:c r="B4" s="4"/>
      <x:c r="C4" s="4"/>
      <x:c r="D4" s="4"/>
      <x:c r="E4" s="4"/>
      <x:c r="F4" s="4"/>
      <x:c r="G4" s="4"/>
      <x:c r="H4" s="4"/>
    </x:row>
    <x:row r="5">
      <x:c r="B5" s="4"/>
      <x:c r="C5" s="4"/>
      <x:c r="D5" s="4"/>
      <x:c r="E5" s="4"/>
      <x:c r="F5" s="4"/>
      <x:c r="G5" s="4"/>
      <x:c r="H5" s="4"/>
    </x:row>
    <x:row r="6">
      <x:c r="B6" s="4"/>
      <x:c r="C6" s="4"/>
      <x:c r="D6" s="4"/>
      <x:c r="E6" s="4"/>
      <x:c r="F6" s="4"/>
      <x:c r="G6" s="4"/>
      <x:c r="H6" s="4"/>
    </x:row>
    <x:row r="8">
      <x:c r="B8" s="8" t="str">
        <x:v>API-AUTH-001 ログイン</x:v>
      </x:c>
      <x:c r="C8" s="8"/>
      <x:c r="D8" s="8"/>
      <x:c r="E8" s="8"/>
      <x:c r="F8" s="8"/>
      <x:c r="G8" s="8"/>
      <x:c r="H8" s="8"/>
    </x:row>
    <x:row r="9">
      <x:c r="B9" s="8"/>
      <x:c r="C9" s="8"/>
      <x:c r="D9" s="8"/>
      <x:c r="E9" s="8"/>
      <x:c r="F9" s="8"/>
      <x:c r="G9" s="8"/>
      <x:c r="H9" s="8"/>
    </x:row>
    <x:row r="12">
      <x:c r="C12" s="13" t="str">
        <x:v>システム名</x:v>
      </x:c>
      <x:c r="D12" s="13"/>
      <x:c r="E12" s="14" t="str">
        <x:v>Company WorkHub</x:v>
      </x:c>
      <x:c r="F12" s="14"/>
    </x:row>
    <x:row r="13">
      <x:c r="C13" s="13" t="str">
        <x:v>文書番号</x:v>
      </x:c>
      <x:c r="D13" s="13"/>
      <x:c r="E13" s="14" t="str">
        <x:v>CW-UT-SAMPLE-AUTH-001</x:v>
      </x:c>
      <x:c r="F13" s="14"/>
    </x:row>
    <x:row r="14">
      <x:c r="C14" s="13" t="str">
        <x:v>版数</x:v>
      </x:c>
      <x:c r="D14" s="13"/>
      <x:c r="E14" s="14" t="str">
        <x:v>Ver.1.2</x:v>
      </x:c>
      <x:c r="F14" s="14"/>
    </x:row>
    <x:row r="15">
      <x:c r="C15" s="13" t="str">
        <x:v>改訂日</x:v>
      </x:c>
      <x:c r="D15" s="13"/>
      <x:c r="E15" s="14" t="str">
        <x:v>2026-08-10</x:v>
      </x:c>
      <x:c r="F15" s="14"/>
    </x:row>
    <x:row r="16">
      <x:c r="C16" s="13" t="str">
        <x:v>状態</x:v>
      </x:c>
      <x:c r="D16" s="13"/>
      <x:c r="E16" s="14" t="str">
        <x:v>レビュー待ち</x:v>
      </x:c>
      <x:c r="F16" s="14"/>
    </x:row>
  </x:sheetData>
  <x:mergeCells>
    <x:mergeCell ref="B3:H6"/>
    <x:mergeCell ref="B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35" t="str">
        <x:v>改訂履歴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CW-UT-SAMPLE-REV</x:v>
      </x:c>
      <x:c r="F3" s="30"/>
      <x:c r="G3" s="30"/>
      <x:c r="H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  <x:c r="H4" s="30"/>
    </x:row>
    <x:row r="5">
      <x:c r="A5" s="31"/>
      <x:c r="B5" s="31"/>
      <x:c r="C5" s="31"/>
      <x:c r="D5" s="31"/>
      <x:c r="E5" s="31"/>
      <x:c r="F5" s="31"/>
      <x:c r="G5" s="31"/>
      <x:c r="H5" s="31"/>
    </x:row>
    <x:row r="6">
      <x:c r="A6" s="32" t="str">
        <x:v>1. 改訂履歴</x:v>
      </x:c>
      <x:c r="B6" s="32"/>
      <x:c r="C6" s="32"/>
      <x:c r="D6" s="32"/>
      <x:c r="E6" s="32"/>
      <x:c r="F6" s="32"/>
      <x:c r="G6" s="32"/>
      <x:c r="H6" s="32"/>
    </x:row>
    <x:row r="7">
      <x:c r="A7" s="33" t="str">
        <x:v>版数</x:v>
      </x:c>
      <x:c r="B7" s="33" t="str">
        <x:v>改訂日</x:v>
      </x:c>
      <x:c r="C7" s="33" t="str">
        <x:v>改訂内容</x:v>
      </x:c>
      <x:c r="D7" s="33" t="str">
        <x:v>作成者</x:v>
      </x:c>
      <x:c r="E7" s="33" t="str">
        <x:v>レビュー者</x:v>
      </x:c>
      <x:c r="F7" s="33" t="str">
        <x:v>承認者</x:v>
      </x:c>
      <x:c r="G7" s="33" t="str">
        <x:v>状態</x:v>
      </x:c>
      <x:c r="H7" s="33" t="str">
        <x:v>備考</x:v>
      </x:c>
    </x:row>
    <x:row r="8" ht="30" customHeight="1">
      <x:c r="A8" s="34" t="str">
        <x:v>1.0</x:v>
      </x:c>
      <x:c r="B8" s="34" t="str">
        <x:v>2026-08-10</x:v>
      </x:c>
      <x:c r="C8" s="34" t="str">
        <x:v>Login単体Test Sample作成</x:v>
      </x:c>
      <x:c r="D8" s="34" t="str">
        <x:v>Project Leader</x:v>
      </x:c>
      <x:c r="E8" s="34" t="str">
        <x:v>-</x:v>
      </x:c>
      <x:c r="F8" s="34" t="str">
        <x:v>-</x:v>
      </x:c>
      <x:c r="G8" s="34" t="str">
        <x:v>レビュー待ち</x:v>
      </x:c>
      <x:c r="H8" s="34" t="str"/>
    </x:row>
    <x:row r="9">
      <x:c r="A9" s="31" t="n">
        <x:v>1</x:v>
      </x:c>
      <x:c r="B9" s="31" t="str">
        <x:v>1.3</x:v>
      </x:c>
      <x:c r="C9" s="62" t="n">
        <x:v>46246</x:v>
      </x:c>
      <x:c r="D9" s="31" t="str">
        <x:v>追跡項目、Test Data、証跡連携、HTTP Status、集計判定を修正</x:v>
      </x:c>
      <x:c r="E9" s="31" t="str">
        <x:v>Codex</x:v>
      </x:c>
      <x:c r="F9" s="31" t="str"/>
      <x:c r="G9" s="31" t="str"/>
      <x:c r="H9" s="31" t="str">
        <x:v>反映済</x:v>
      </x:c>
    </x:row>
    <x:row r="10">
      <x:c r="A10" s="31"/>
      <x:c r="B10" s="31"/>
      <x:c r="C10" s="31"/>
      <x:c r="D10" s="31"/>
      <x:c r="E10" s="31"/>
      <x:c r="F10" s="31"/>
      <x:c r="G10" s="31"/>
      <x:c r="H10" s="31"/>
    </x:row>
  </x:sheetData>
  <x:mergeCells>
    <x:mergeCell ref="A1:H2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6" hidden="0" customWidth="1"/>
    <x:col min="4" max="4" width="30" hidden="0" customWidth="1"/>
  </x:cols>
  <x:sheetData>
    <x:row r="1">
      <x:c r="A1" s="35" t="str">
        <x:v>単体Test対象・方針</x:v>
      </x:c>
      <x:c r="B1" s="35"/>
      <x:c r="C1" s="35"/>
      <x:c r="D1" s="35"/>
    </x:row>
    <x:row r="2">
      <x:c r="A2" s="35"/>
      <x:c r="B2" s="35"/>
      <x:c r="C2" s="35"/>
      <x:c r="D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CW-UT-SAMPLE-PLAN</x:v>
      </x:c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</x:row>
    <x:row r="5">
      <x:c r="A5" s="31"/>
      <x:c r="B5" s="31"/>
      <x:c r="C5" s="31"/>
      <x:c r="D5" s="31"/>
    </x:row>
    <x:row r="6">
      <x:c r="A6" s="32" t="str">
        <x:v>1. Test基本情報</x:v>
      </x:c>
      <x:c r="B6" s="32"/>
      <x:c r="C6" s="32"/>
      <x:c r="D6" s="32"/>
    </x:row>
    <x:row r="7">
      <x:c r="A7" s="33" t="str">
        <x:v>項目</x:v>
      </x:c>
      <x:c r="B7" s="33" t="str">
        <x:v>内容</x:v>
      </x:c>
      <x:c r="C7" s="33" t="str">
        <x:v>記入Rule</x:v>
      </x:c>
      <x:c r="D7" s="33" t="str">
        <x:v>Sample</x:v>
      </x:c>
    </x:row>
    <x:row r="8" ht="30" customHeight="1">
      <x:c r="A8" s="34" t="str">
        <x:v>対象機能</x:v>
      </x:c>
      <x:c r="B8" s="34" t="str">
        <x:v>M01 Login認証</x:v>
      </x:c>
      <x:c r="C8" s="34" t="str">
        <x:v>基本設計の機能IDを記載</x:v>
      </x:c>
      <x:c r="D8" s="34" t="str">
        <x:v>M01</x:v>
      </x:c>
    </x:row>
    <x:row r="9" ht="30" customHeight="1">
      <x:c r="A9" s="34" t="str">
        <x:v>対象単位</x:v>
      </x:c>
      <x:c r="B9" s="34" t="str">
        <x:v>API-AUTH-001 / Controller・Service・JWT・Repository連携</x:v>
      </x:c>
      <x:c r="C9" s="34" t="str">
        <x:v>単体境界を明確化</x:v>
      </x:c>
      <x:c r="D9" s="34" t="str">
        <x:v>API-AUTH-001</x:v>
      </x:c>
    </x:row>
    <x:row r="10" ht="30" customHeight="1">
      <x:c r="A10" s="34" t="str">
        <x:v>参照設計</x:v>
      </x:c>
      <x:c r="B10" s="34" t="str">
        <x:v>CW-BD-API-AUTH / BR-AUTH-001/002 / TX-AUTH-LOGIN</x:v>
      </x:c>
      <x:c r="C10" s="34" t="str">
        <x:v>Trace IDを記載</x:v>
      </x:c>
      <x:c r="D10" s="34" t="str"/>
    </x:row>
    <x:row r="11" ht="30" customHeight="1">
      <x:c r="A11" s="34" t="str">
        <x:v>Framework</x:v>
      </x:c>
      <x:c r="B11" s="34" t="str">
        <x:v>JUnit5 + Mockito + AssertJ / Vitest</x:v>
      </x:c>
      <x:c r="C11" s="34" t="str">
        <x:v>対象に合わせ選択</x:v>
      </x:c>
      <x:c r="D11" s="34" t="str"/>
    </x:row>
    <x:row r="12" ht="30" customHeight="1">
      <x:c r="A12" s="34" t="str">
        <x:v>DB Test</x:v>
      </x:c>
      <x:c r="B12" s="34" t="str">
        <x:v>Mapper SQLはTest DB、ServiceはMockを原則</x:v>
      </x:c>
      <x:c r="C12" s="34" t="str">
        <x:v>Test対象の責務に合わせる</x:v>
      </x:c>
      <x:c r="D12" s="34" t="str"/>
    </x:row>
    <x:row r="13" ht="30" customHeight="1">
      <x:c r="A13" s="34" t="str">
        <x:v>判定</x:v>
      </x:c>
      <x:c r="B13" s="34" t="str">
        <x:v>全必須Case実施、重大NG=0、保留はLeader承認</x:v>
      </x:c>
      <x:c r="C13" s="34" t="str">
        <x:v>数値/Log/DB状態を確認</x:v>
      </x:c>
      <x:c r="D13" s="34" t="str"/>
    </x:row>
    <x:row r="14" ht="30" customHeight="1">
      <x:c r="A14" s="34" t="str">
        <x:v>証跡</x:v>
      </x:c>
      <x:c r="B14" s="34" t="str">
        <x:v>Case ID単位でCapture/Log/DB Before-Afterを保存</x:v>
      </x:c>
      <x:c r="C14" s="34" t="str">
        <x:v>File名にTest IDを含める</x:v>
      </x:c>
      <x:c r="D14" s="34" t="str"/>
    </x:row>
    <x:row r="15" ht="30" customHeight="1">
      <x:c r="A15" s="34" t="str">
        <x:v>Coverage</x:v>
      </x:c>
      <x:c r="B15" s="34" t="str">
        <x:v>Line 80%以上を目安、Branchは重要Rule100%</x:v>
      </x:c>
      <x:c r="C15" s="34" t="str">
        <x:v>Coverageだけで完了判定しない</x:v>
      </x:c>
      <x:c r="D15" s="34" t="str"/>
    </x:row>
  </x:sheetData>
  <x:mergeCells>
    <x:mergeCell ref="A1:D2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72" hidden="0" customWidth="1"/>
    <x:col min="4" max="4" width="28" hidden="0" customWidth="1"/>
    <x:col min="5" max="5" width="18" hidden="0" customWidth="1"/>
  </x:cols>
  <x:sheetData>
    <x:row r="1">
      <x:c r="A1" s="35" t="str">
        <x:v>単体Test観点</x:v>
      </x:c>
      <x:c r="B1" s="35"/>
      <x:c r="C1" s="35"/>
      <x:c r="D1" s="35"/>
      <x:c r="E1" s="35"/>
    </x:row>
    <x:row r="2">
      <x:c r="A2" s="35"/>
      <x:c r="B2" s="35"/>
      <x:c r="C2" s="35"/>
      <x:c r="D2" s="35"/>
      <x:c r="E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CW-UT-SAMPLE-VIEW</x:v>
      </x:c>
      <x:c r="E3" s="30"/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  <x:c r="E4" s="30"/>
    </x:row>
    <x:row r="5">
      <x:c r="A5" s="31"/>
      <x:c r="B5" s="31"/>
      <x:c r="C5" s="31"/>
      <x:c r="D5" s="31"/>
      <x:c r="E5" s="31"/>
    </x:row>
    <x:row r="6">
      <x:c r="A6" s="32" t="str">
        <x:v>1. Project共通観点</x:v>
      </x:c>
      <x:c r="B6" s="32"/>
      <x:c r="C6" s="32"/>
      <x:c r="D6" s="32"/>
      <x:c r="E6" s="32"/>
    </x:row>
    <x:row r="7">
      <x:c r="A7" s="33" t="str">
        <x:v>観点ID</x:v>
      </x:c>
      <x:c r="B7" s="33" t="str">
        <x:v>分類</x:v>
      </x:c>
      <x:c r="C7" s="33" t="str">
        <x:v>確認内容</x:v>
      </x:c>
      <x:c r="D7" s="33" t="str">
        <x:v>対象Layer</x:v>
      </x:c>
      <x:c r="E7" s="33" t="str">
        <x:v>適用</x:v>
      </x:c>
    </x:row>
    <x:row r="8" ht="30" customHeight="1">
      <x:c r="A8" s="34" t="str">
        <x:v>UT-VIEW-01</x:v>
      </x:c>
      <x:c r="B8" s="34" t="str">
        <x:v>正常</x:v>
      </x:c>
      <x:c r="C8" s="34" t="str">
        <x:v>代表入力、最小/最大正常値</x:v>
      </x:c>
      <x:c r="D8" s="34" t="str">
        <x:v>全Layer</x:v>
      </x:c>
      <x:c r="E8" s="34" t="str">
        <x:v>必須</x:v>
      </x:c>
    </x:row>
    <x:row r="9" ht="30" customHeight="1">
      <x:c r="A9" s="34" t="str">
        <x:v>UT-VIEW-02</x:v>
      </x:c>
      <x:c r="B9" s="34" t="str">
        <x:v>境界</x:v>
      </x:c>
      <x:c r="C9" s="34" t="str">
        <x:v>0/1、max-1/max/max+1、日付境界</x:v>
      </x:c>
      <x:c r="D9" s="34" t="str">
        <x:v>Validation/Domain</x:v>
      </x:c>
      <x:c r="E9" s="34" t="str">
        <x:v>必須</x:v>
      </x:c>
    </x:row>
    <x:row r="10" ht="30" customHeight="1">
      <x:c r="A10" s="34" t="str">
        <x:v>UT-VIEW-03</x:v>
      </x:c>
      <x:c r="B10" s="34" t="str">
        <x:v>入力異常</x:v>
      </x:c>
      <x:c r="C10" s="34" t="str">
        <x:v>null、空、空白、形式、範囲、Enum外</x:v>
      </x:c>
      <x:c r="D10" s="34" t="str">
        <x:v>Controller/Validation</x:v>
      </x:c>
      <x:c r="E10" s="34" t="str">
        <x:v>必須</x:v>
      </x:c>
    </x:row>
    <x:row r="11" ht="30" customHeight="1">
      <x:c r="A11" s="34" t="str">
        <x:v>UT-VIEW-04</x:v>
      </x:c>
      <x:c r="B11" s="34" t="str">
        <x:v>業務異常</x:v>
      </x:c>
      <x:c r="C11" s="34" t="str">
        <x:v>不存在、停止、重複、状態不正、期限外</x:v>
      </x:c>
      <x:c r="D11" s="34" t="str">
        <x:v>Service</x:v>
      </x:c>
      <x:c r="E11" s="34" t="str">
        <x:v>必須</x:v>
      </x:c>
    </x:row>
    <x:row r="12" ht="30" customHeight="1">
      <x:c r="A12" s="34" t="str">
        <x:v>UT-VIEW-05</x:v>
      </x:c>
      <x:c r="B12" s="34" t="str">
        <x:v>権限</x:v>
      </x:c>
      <x:c r="C12" s="34" t="str">
        <x:v>Role、Permission、Data範囲、本人/他人</x:v>
      </x:c>
      <x:c r="D12" s="34" t="str">
        <x:v>Security/Service</x:v>
      </x:c>
      <x:c r="E12" s="34" t="str">
        <x:v>必須</x:v>
      </x:c>
    </x:row>
    <x:row r="13" ht="30" customHeight="1">
      <x:c r="A13" s="34" t="str">
        <x:v>UT-VIEW-06</x:v>
      </x:c>
      <x:c r="B13" s="34" t="str">
        <x:v>DB</x:v>
      </x:c>
      <x:c r="C13" s="34" t="str">
        <x:v>検索0/1/複数、Insert/Update/Delete、Unique</x:v>
      </x:c>
      <x:c r="D13" s="34" t="str">
        <x:v>Repository</x:v>
      </x:c>
      <x:c r="E13" s="34" t="str">
        <x:v>必須</x:v>
      </x:c>
    </x:row>
    <x:row r="14" ht="30" customHeight="1">
      <x:c r="A14" s="34" t="str">
        <x:v>UT-VIEW-07</x:v>
      </x:c>
      <x:c r="B14" s="34" t="str">
        <x:v>Transaction</x:v>
      </x:c>
      <x:c r="C14" s="34" t="str">
        <x:v>複数更新、途中例外、Rollback、Commit後処理</x:v>
      </x:c>
      <x:c r="D14" s="34" t="str">
        <x:v>Service</x:v>
      </x:c>
      <x:c r="E14" s="34" t="str">
        <x:v>必須</x:v>
      </x:c>
    </x:row>
    <x:row r="15" ht="30" customHeight="1">
      <x:c r="A15" s="34" t="str">
        <x:v>UT-VIEW-08</x:v>
      </x:c>
      <x:c r="B15" s="34" t="str">
        <x:v>排他</x:v>
      </x:c>
      <x:c r="C15" s="34" t="str">
        <x:v>Version一致/不一致、更新件数0、同時実行</x:v>
      </x:c>
      <x:c r="D15" s="34" t="str">
        <x:v>Service/Repository</x:v>
      </x:c>
      <x:c r="E15" s="34" t="str">
        <x:v>対象時必須</x:v>
      </x:c>
    </x:row>
    <x:row r="16" ht="30" customHeight="1">
      <x:c r="A16" s="34" t="str">
        <x:v>UT-VIEW-09</x:v>
      </x:c>
      <x:c r="B16" s="34" t="str">
        <x:v>冪等</x:v>
      </x:c>
      <x:c r="C16" s="34" t="str">
        <x:v>初回、同Body再送、異なるBody、TTL後</x:v>
      </x:c>
      <x:c r="D16" s="34" t="str">
        <x:v>Service/Redis</x:v>
      </x:c>
      <x:c r="E16" s="34" t="str">
        <x:v>POST必須</x:v>
      </x:c>
    </x:row>
    <x:row r="17" ht="30" customHeight="1">
      <x:c r="A17" s="34" t="str">
        <x:v>UT-VIEW-10</x:v>
      </x:c>
      <x:c r="B17" s="34" t="str">
        <x:v>Cache/Redis</x:v>
      </x:c>
      <x:c r="C17" s="34" t="str">
        <x:v>Hit/Miss/TTL/Delete/Fallback/障害</x:v>
      </x:c>
      <x:c r="D17" s="34" t="str">
        <x:v>Service</x:v>
      </x:c>
      <x:c r="E17" s="34" t="str">
        <x:v>対象時必須</x:v>
      </x:c>
    </x:row>
    <x:row r="18" ht="30" customHeight="1">
      <x:c r="A18" s="34" t="str">
        <x:v>UT-VIEW-11</x:v>
      </x:c>
      <x:c r="B18" s="34" t="str">
        <x:v>File</x:v>
      </x:c>
      <x:c r="C18" s="34" t="str">
        <x:v>種類/MIME/Size/件数/Path/補償</x:v>
      </x:c>
      <x:c r="D18" s="34" t="str">
        <x:v>File Service</x:v>
      </x:c>
      <x:c r="E18" s="34" t="str">
        <x:v>対象時必須</x:v>
      </x:c>
    </x:row>
    <x:row r="19" ht="30" customHeight="1">
      <x:c r="A19" s="34" t="str">
        <x:v>UT-VIEW-12</x:v>
      </x:c>
      <x:c r="B19" s="34" t="str">
        <x:v>例外</x:v>
      </x:c>
      <x:c r="C19" s="34" t="str">
        <x:v>400/401/403/404/409/413/500変換</x:v>
      </x:c>
      <x:c r="D19" s="34" t="str">
        <x:v>ControllerAdvice</x:v>
      </x:c>
      <x:c r="E19" s="34" t="str">
        <x:v>必須</x:v>
      </x:c>
    </x:row>
    <x:row r="20" ht="30" customHeight="1">
      <x:c r="A20" s="34" t="str">
        <x:v>UT-VIEW-13</x:v>
      </x:c>
      <x:c r="B20" s="34" t="str">
        <x:v>Log/Security</x:v>
      </x:c>
      <x:c r="C20" s="34" t="str">
        <x:v>Mask、traceId、操作Log、Token/Password非出力</x:v>
      </x:c>
      <x:c r="D20" s="34" t="str">
        <x:v>共通</x:v>
      </x:c>
      <x:c r="E20" s="34" t="str">
        <x:v>必須</x:v>
      </x:c>
    </x:row>
    <x:row r="21" ht="30" customHeight="1">
      <x:c r="A21" s="34" t="str">
        <x:v>UT-VIEW-14</x:v>
      </x:c>
      <x:c r="B21" s="34" t="str">
        <x:v>Batch</x:v>
      </x:c>
      <x:c r="C21" s="34" t="str">
        <x:v>抽出、0件、境界日、Lock、重複、再実行</x:v>
      </x:c>
      <x:c r="D21" s="34" t="str">
        <x:v>Batch</x:v>
      </x:c>
      <x:c r="E21" s="34" t="str">
        <x:v>対象時必須</x:v>
      </x:c>
    </x:row>
    <x:row r="22" ht="30" customHeight="1">
      <x:c r="A22" s="34" t="str">
        <x:v>UT-VIEW-15</x:v>
      </x:c>
      <x:c r="B22" s="34" t="str">
        <x:v>Frontend</x:v>
      </x:c>
      <x:c r="C22" s="34" t="str">
        <x:v>Component表示、入力、Event、API成功/失敗、Role</x:v>
      </x:c>
      <x:c r="D22" s="34" t="str">
        <x:v>Vue/React</x:v>
      </x:c>
      <x:c r="E22" s="34" t="str">
        <x:v>画面必須</x:v>
      </x:c>
    </x:row>
  </x:sheetData>
  <x:mergeCells>
    <x:mergeCell ref="A1:E2"/>
    <x:mergeCell ref="A6:E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24" hidden="0" customWidth="1"/>
    <x:col min="5" max="5" width="20" hidden="0" customWidth="1"/>
    <x:col min="6" max="6" width="14" hidden="0" customWidth="1"/>
    <x:col min="7" max="7" width="24" hidden="0" customWidth="1"/>
    <x:col min="8" max="8" width="12" hidden="0" customWidth="1"/>
    <x:col min="9" max="9" width="16" hidden="0" customWidth="1"/>
    <x:col min="10" max="10" width="22" hidden="0" customWidth="1"/>
    <x:col min="11" max="11" width="24" hidden="0" customWidth="1"/>
    <x:col min="12" max="12" width="24" hidden="0" customWidth="1"/>
    <x:col min="13" max="13" width="38" hidden="0" customWidth="1"/>
    <x:col min="14" max="14" width="11" hidden="0" customWidth="1"/>
    <x:col min="15" max="15" width="24" hidden="0" customWidth="1"/>
    <x:col min="16" max="16" width="32" hidden="0" customWidth="1"/>
    <x:col min="17" max="17" width="16" hidden="0" customWidth="1"/>
    <x:col min="18" max="18" width="12" hidden="0" customWidth="1"/>
    <x:col min="19" max="19" width="12" hidden="0" customWidth="1"/>
    <x:col min="20" max="20" width="20" hidden="0" customWidth="1"/>
  </x:cols>
  <x:sheetData>
    <x:row r="1">
      <x:c r="A1" s="35" t="str">
        <x:v>単体Test Case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</x:row>
    <x:row r="3">
      <x:c r="A3" s="29" t="str">
        <x:v>システム名</x:v>
      </x:c>
      <x:c r="B3" s="30" t="str">
        <x:v>Company WorkHub</x:v>
      </x:c>
      <x:c r="C3" s="30"/>
      <x:c r="D3" s="30"/>
      <x:c r="E3" s="30"/>
      <x:c r="F3" s="30"/>
      <x:c r="G3" s="30"/>
      <x:c r="H3" s="29" t="str">
        <x:v>文書番号</x:v>
      </x:c>
      <x:c r="I3" s="30" t="str">
        <x:v>CW-UT-AUTH-001</x:v>
      </x:c>
      <x:c r="J3" s="30"/>
      <x:c r="K3" s="30"/>
      <x:c r="L3" s="30"/>
      <x:c r="M3" s="30"/>
      <x:c r="N3" s="30"/>
      <x:c r="O3" s="30"/>
      <x:c r="P3" s="30"/>
    </x:row>
    <x:row r="4">
      <x:c r="A4" s="29" t="str">
        <x:v>版数</x:v>
      </x:c>
      <x:c r="B4" s="30" t="str">
        <x:v>Ver.1.3</x:v>
      </x:c>
      <x:c r="C4" s="30"/>
      <x:c r="D4" s="30"/>
      <x:c r="E4" s="30"/>
      <x:c r="F4" s="30"/>
      <x:c r="G4" s="30"/>
      <x:c r="H4" s="29" t="str">
        <x:v>改訂日</x:v>
      </x:c>
      <x:c r="I4" s="30" t="str">
        <x:v>2026-08-10</x:v>
      </x:c>
      <x:c r="J4" s="30"/>
      <x:c r="K4" s="30"/>
      <x:c r="L4" s="30"/>
      <x:c r="M4" s="30"/>
      <x:c r="N4" s="30"/>
      <x:c r="O4" s="30"/>
      <x:c r="P4" s="30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</x:row>
    <x:row r="6">
      <x:c r="A6" s="32" t="str">
        <x:v>1. Test Case</x:v>
      </x:c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</x:row>
    <x:row r="7">
      <x:c r="A7" s="33" t="str">
        <x:v>Test ID</x:v>
      </x:c>
      <x:c r="B7" s="33" t="str">
        <x:v>機能ID</x:v>
      </x:c>
      <x:c r="C7" s="33" t="str">
        <x:v>対象ID</x:v>
      </x:c>
      <x:c r="D7" s="33" t="str">
        <x:v>参照詳細設計</x:v>
      </x:c>
      <x:c r="E7" s="33" t="str">
        <x:v>処理Step/観点ID</x:v>
      </x:c>
      <x:c r="F7" s="33" t="str">
        <x:v>Layer</x:v>
      </x:c>
      <x:c r="G7" s="33" t="str">
        <x:v>Class/Method</x:v>
      </x:c>
      <x:c r="H7" s="33" t="str">
        <x:v>観点</x:v>
      </x:c>
      <x:c r="I7" s="33" t="str">
        <x:v>Test Data ID</x:v>
      </x:c>
      <x:c r="J7" s="33" t="str">
        <x:v>事前条件</x:v>
      </x:c>
      <x:c r="K7" s="33" t="str">
        <x:v>入力</x:v>
      </x:c>
      <x:c r="L7" s="33" t="str">
        <x:v>Mock/DB状態</x:v>
      </x:c>
      <x:c r="M7" s="33" t="str">
        <x:v>期待結果</x:v>
      </x:c>
      <x:c r="N7" s="33" t="str">
        <x:v>判定</x:v>
      </x:c>
      <x:c r="O7" s="33" t="str">
        <x:v>実行結果</x:v>
      </x:c>
      <x:c r="P7" s="33" t="str">
        <x:v>証跡File</x:v>
      </x:c>
      <x:c r="Q7" t="str">
        <x:v>障害ID</x:v>
      </x:c>
      <x:c r="R7" t="str">
        <x:v>実行者</x:v>
      </x:c>
      <x:c r="S7" t="str">
        <x:v>実行日</x:v>
      </x:c>
      <x:c r="T7" t="str">
        <x:v>備考</x:v>
      </x:c>
    </x:row>
    <x:row r="8" ht="30" customHeight="1">
      <x:c r="A8" s="34" t="str">
        <x:v>UT-AUTH-001-001</x:v>
      </x:c>
      <x:c r="B8" s="34" t="str">
        <x:v>M01</x:v>
      </x:c>
      <x:c r="C8" s="34" t="str">
        <x:v>API-AUTH-001</x:v>
      </x:c>
      <x:c r="D8" s="34" t="str">
        <x:v>CW-DD-API-AUTH-001-R</x:v>
      </x:c>
      <x:c r="E8" s="34" t="str">
        <x:v>03-入力校验</x:v>
      </x:c>
      <x:c r="F8" s="34" t="str">
        <x:v>Controller</x:v>
      </x:c>
      <x:c r="G8" s="34" t="str">
        <x:v>LoginRequest Validation</x:v>
      </x:c>
      <x:c r="H8" s="34" t="str">
        <x:v>正常</x:v>
      </x:c>
      <x:c r="I8" s="34" t="str"/>
      <x:c r="J8" s="34" t="str">
        <x:v>有効Request</x:v>
      </x:c>
      <x:c r="K8" s="34" t="str">
        <x:v>username=user01,password=Valid#123</x:v>
      </x:c>
      <x:c r="L8" s="34" t="str">
        <x:v>Service=成功</x:v>
      </x:c>
      <x:c r="M8" s="34" t="str">
        <x:v>Serviceが1回呼ばれHTTP200/共通Response</x:v>
      </x:c>
      <x:c r="N8" s="34" t="str">
        <x:v>未実施</x:v>
      </x:c>
      <x:c r="O8" s="34"/>
      <x:c r="P8" s="34" t="str">
        <x:v>evidence/UT-AUTH-001-001.png</x:v>
      </x:c>
      <x:c r="Q8" t="str"/>
      <x:c r="R8"/>
      <x:c r="S8"/>
      <x:c r="T8"/>
    </x:row>
    <x:row r="9" ht="30" customHeight="1">
      <x:c r="A9" s="34" t="str">
        <x:v>UT-AUTH-001-002</x:v>
      </x:c>
      <x:c r="B9" s="34" t="str">
        <x:v>M01</x:v>
      </x:c>
      <x:c r="C9" s="34" t="str">
        <x:v>API-AUTH-001</x:v>
      </x:c>
      <x:c r="D9" s="34" t="str">
        <x:v>CW-DD-API-AUTH-001-R</x:v>
      </x:c>
      <x:c r="E9" s="34" t="str">
        <x:v>03-入力校验</x:v>
      </x:c>
      <x:c r="F9" s="34" t="str">
        <x:v>Controller</x:v>
      </x:c>
      <x:c r="G9" s="34" t="str">
        <x:v>username 必須</x:v>
      </x:c>
      <x:c r="H9" s="34" t="str">
        <x:v>入力異常</x:v>
      </x:c>
      <x:c r="I9" s="34" t="str"/>
      <x:c r="J9" s="34" t="str">
        <x:v>-</x:v>
      </x:c>
      <x:c r="K9" s="34" t="str">
        <x:v>username=null</x:v>
      </x:c>
      <x:c r="L9" s="34" t="str">
        <x:v>Service呼出なし</x:v>
      </x:c>
      <x:c r="M9" s="34" t="str">
        <x:v>400 COMMON-4000/username Error</x:v>
      </x:c>
      <x:c r="N9" s="34" t="str">
        <x:v>未実施</x:v>
      </x:c>
      <x:c r="O9" s="34"/>
      <x:c r="P9" s="34" t="str">
        <x:v>evidence/UT-AUTH-001-002.png</x:v>
      </x:c>
      <x:c r="Q9" t="str"/>
      <x:c r="R9"/>
      <x:c r="S9"/>
      <x:c r="T9"/>
    </x:row>
    <x:row r="10" ht="30" customHeight="1">
      <x:c r="A10" s="34" t="str">
        <x:v>UT-AUTH-001-003</x:v>
      </x:c>
      <x:c r="B10" s="34" t="str">
        <x:v>M01</x:v>
      </x:c>
      <x:c r="C10" s="34" t="str">
        <x:v>API-AUTH-001</x:v>
      </x:c>
      <x:c r="D10" s="34" t="str">
        <x:v>CW-DD-API-AUTH-001-R</x:v>
      </x:c>
      <x:c r="E10" s="34" t="str">
        <x:v>03-入力校验</x:v>
      </x:c>
      <x:c r="F10" s="34" t="str">
        <x:v>Controller</x:v>
      </x:c>
      <x:c r="G10" s="34" t="str">
        <x:v>username 必須</x:v>
      </x:c>
      <x:c r="H10" s="34" t="str">
        <x:v>境界</x:v>
      </x:c>
      <x:c r="I10" s="34" t="str"/>
      <x:c r="J10" s="34" t="str">
        <x:v>-</x:v>
      </x:c>
      <x:c r="K10" s="34" t="str">
        <x:v>username=空文字</x:v>
      </x:c>
      <x:c r="L10" s="34" t="str">
        <x:v>Service呼出なし</x:v>
      </x:c>
      <x:c r="M10" s="34" t="str">
        <x:v>400 COMMON-4000</x:v>
      </x:c>
      <x:c r="N10" s="34" t="str">
        <x:v>未実施</x:v>
      </x:c>
      <x:c r="O10" s="34"/>
      <x:c r="P10" s="34" t="str">
        <x:v>evidence/UT-AUTH-001-003.png</x:v>
      </x:c>
      <x:c r="Q10" t="str"/>
      <x:c r="R10"/>
      <x:c r="S10"/>
      <x:c r="T10"/>
    </x:row>
    <x:row r="11" ht="30" customHeight="1">
      <x:c r="A11" s="34" t="str">
        <x:v>UT-AUTH-001-004</x:v>
      </x:c>
      <x:c r="B11" s="34" t="str">
        <x:v>M01</x:v>
      </x:c>
      <x:c r="C11" s="34" t="str">
        <x:v>API-AUTH-001</x:v>
      </x:c>
      <x:c r="D11" s="34" t="str">
        <x:v>CW-DD-API-AUTH-001-R</x:v>
      </x:c>
      <x:c r="E11" s="34" t="str">
        <x:v>03-入力校验</x:v>
      </x:c>
      <x:c r="F11" s="34" t="str">
        <x:v>Controller</x:v>
      </x:c>
      <x:c r="G11" s="34" t="str">
        <x:v>username 必須</x:v>
      </x:c>
      <x:c r="H11" s="34" t="str">
        <x:v>境界</x:v>
      </x:c>
      <x:c r="I11" s="34" t="str"/>
      <x:c r="J11" s="34" t="str">
        <x:v>-</x:v>
      </x:c>
      <x:c r="K11" s="34" t="str">
        <x:v>username=半角空白のみ</x:v>
      </x:c>
      <x:c r="L11" s="34" t="str">
        <x:v>Service呼出なし</x:v>
      </x:c>
      <x:c r="M11" s="34" t="str">
        <x:v>400 COMMON-4000</x:v>
      </x:c>
      <x:c r="N11" s="34" t="str">
        <x:v>未実施</x:v>
      </x:c>
      <x:c r="O11" s="34"/>
      <x:c r="P11" s="34" t="str">
        <x:v>evidence/UT-AUTH-001-004.png</x:v>
      </x:c>
      <x:c r="Q11" t="str"/>
      <x:c r="R11"/>
      <x:c r="S11"/>
      <x:c r="T11"/>
    </x:row>
    <x:row r="12" ht="30" customHeight="1">
      <x:c r="A12" s="34" t="str">
        <x:v>UT-AUTH-001-005</x:v>
      </x:c>
      <x:c r="B12" s="34" t="str">
        <x:v>M01</x:v>
      </x:c>
      <x:c r="C12" s="34" t="str">
        <x:v>API-AUTH-001</x:v>
      </x:c>
      <x:c r="D12" s="34" t="str">
        <x:v>CW-DD-API-AUTH-001-R</x:v>
      </x:c>
      <x:c r="E12" s="34" t="str">
        <x:v>03-入力校验</x:v>
      </x:c>
      <x:c r="F12" s="34" t="str">
        <x:v>Controller</x:v>
      </x:c>
      <x:c r="G12" s="34" t="str">
        <x:v>username 桁</x:v>
      </x:c>
      <x:c r="H12" s="34" t="str">
        <x:v>境界</x:v>
      </x:c>
      <x:c r="I12" s="34" t="str"/>
      <x:c r="J12" s="34" t="str">
        <x:v>-</x:v>
      </x:c>
      <x:c r="K12" s="34" t="str">
        <x:v>1文字</x:v>
      </x:c>
      <x:c r="L12" s="34" t="str">
        <x:v>Service=成功</x:v>
      </x:c>
      <x:c r="M12" s="34" t="str">
        <x:v>Validation通過</x:v>
      </x:c>
      <x:c r="N12" s="34" t="str">
        <x:v>未実施</x:v>
      </x:c>
      <x:c r="O12" s="34"/>
      <x:c r="P12" s="34" t="str">
        <x:v>evidence/UT-AUTH-001-005.png</x:v>
      </x:c>
      <x:c r="Q12" t="str"/>
      <x:c r="R12"/>
      <x:c r="S12"/>
      <x:c r="T12"/>
    </x:row>
    <x:row r="13" ht="30" customHeight="1">
      <x:c r="A13" s="34" t="str">
        <x:v>UT-AUTH-001-006</x:v>
      </x:c>
      <x:c r="B13" s="34" t="str">
        <x:v>M01</x:v>
      </x:c>
      <x:c r="C13" s="34" t="str">
        <x:v>API-AUTH-001</x:v>
      </x:c>
      <x:c r="D13" s="34" t="str">
        <x:v>CW-DD-API-AUTH-001-R</x:v>
      </x:c>
      <x:c r="E13" s="34" t="str">
        <x:v>03-入力校验</x:v>
      </x:c>
      <x:c r="F13" s="34" t="str">
        <x:v>Controller</x:v>
      </x:c>
      <x:c r="G13" s="34" t="str">
        <x:v>username 桁</x:v>
      </x:c>
      <x:c r="H13" s="34" t="str">
        <x:v>境界</x:v>
      </x:c>
      <x:c r="I13" s="34" t="str"/>
      <x:c r="J13" s="34" t="str">
        <x:v>-</x:v>
      </x:c>
      <x:c r="K13" s="34" t="str">
        <x:v>50文字</x:v>
      </x:c>
      <x:c r="L13" s="34" t="str">
        <x:v>Service=成功</x:v>
      </x:c>
      <x:c r="M13" s="34" t="str">
        <x:v>Validation通過</x:v>
      </x:c>
      <x:c r="N13" s="34" t="str">
        <x:v>未実施</x:v>
      </x:c>
      <x:c r="O13" s="34"/>
      <x:c r="P13" s="34" t="str">
        <x:v>evidence/UT-AUTH-001-006.png</x:v>
      </x:c>
      <x:c r="Q13" t="str"/>
      <x:c r="R13"/>
      <x:c r="S13"/>
      <x:c r="T13"/>
    </x:row>
    <x:row r="14" ht="30" customHeight="1">
      <x:c r="A14" s="34" t="str">
        <x:v>UT-AUTH-001-007</x:v>
      </x:c>
      <x:c r="B14" s="34" t="str">
        <x:v>M01</x:v>
      </x:c>
      <x:c r="C14" s="34" t="str">
        <x:v>API-AUTH-001</x:v>
      </x:c>
      <x:c r="D14" s="34" t="str">
        <x:v>CW-DD-API-AUTH-001-R</x:v>
      </x:c>
      <x:c r="E14" s="34" t="str">
        <x:v>03-入力校验</x:v>
      </x:c>
      <x:c r="F14" s="34" t="str">
        <x:v>Controller</x:v>
      </x:c>
      <x:c r="G14" s="34" t="str">
        <x:v>username 桁</x:v>
      </x:c>
      <x:c r="H14" s="34" t="str">
        <x:v>境界</x:v>
      </x:c>
      <x:c r="I14" s="34" t="str"/>
      <x:c r="J14" s="34" t="str">
        <x:v>-</x:v>
      </x:c>
      <x:c r="K14" s="34" t="str">
        <x:v>51文字</x:v>
      </x:c>
      <x:c r="L14" s="34" t="str">
        <x:v>Service呼出なし</x:v>
      </x:c>
      <x:c r="M14" s="34" t="str">
        <x:v>400 COMMON-4000</x:v>
      </x:c>
      <x:c r="N14" s="34" t="str">
        <x:v>未実施</x:v>
      </x:c>
      <x:c r="O14" s="34"/>
      <x:c r="P14" s="34" t="str">
        <x:v>evidence/UT-AUTH-001-007.png</x:v>
      </x:c>
      <x:c r="Q14" t="str"/>
      <x:c r="R14"/>
      <x:c r="S14"/>
      <x:c r="T14"/>
    </x:row>
    <x:row r="15" ht="30" customHeight="1">
      <x:c r="A15" s="34" t="str">
        <x:v>UT-AUTH-001-008</x:v>
      </x:c>
      <x:c r="B15" s="34" t="str">
        <x:v>M01</x:v>
      </x:c>
      <x:c r="C15" s="34" t="str">
        <x:v>API-AUTH-001</x:v>
      </x:c>
      <x:c r="D15" s="34" t="str">
        <x:v>CW-DD-API-AUTH-001-R</x:v>
      </x:c>
      <x:c r="E15" s="34" t="str">
        <x:v>03-入力校验</x:v>
      </x:c>
      <x:c r="F15" s="34" t="str">
        <x:v>Controller</x:v>
      </x:c>
      <x:c r="G15" s="34" t="str">
        <x:v>password 必須</x:v>
      </x:c>
      <x:c r="H15" s="34" t="str">
        <x:v>入力異常</x:v>
      </x:c>
      <x:c r="I15" s="34" t="str"/>
      <x:c r="J15" s="34" t="str">
        <x:v>-</x:v>
      </x:c>
      <x:c r="K15" s="34" t="str">
        <x:v>password=null</x:v>
      </x:c>
      <x:c r="L15" s="34" t="str">
        <x:v>Service呼出なし</x:v>
      </x:c>
      <x:c r="M15" s="34" t="str">
        <x:v>400 COMMON-4000/password Error</x:v>
      </x:c>
      <x:c r="N15" s="34" t="str">
        <x:v>未実施</x:v>
      </x:c>
      <x:c r="O15" s="34"/>
      <x:c r="P15" s="34" t="str">
        <x:v>evidence/UT-AUTH-001-008.png</x:v>
      </x:c>
      <x:c r="Q15" t="str"/>
      <x:c r="R15"/>
      <x:c r="S15"/>
      <x:c r="T15"/>
    </x:row>
    <x:row r="16" ht="30" customHeight="1">
      <x:c r="A16" s="34" t="str">
        <x:v>UT-AUTH-001-009</x:v>
      </x:c>
      <x:c r="B16" s="34" t="str">
        <x:v>M01</x:v>
      </x:c>
      <x:c r="C16" s="34" t="str">
        <x:v>API-AUTH-001</x:v>
      </x:c>
      <x:c r="D16" s="34" t="str">
        <x:v>CW-DD-API-AUTH-001-R</x:v>
      </x:c>
      <x:c r="E16" s="34" t="str">
        <x:v>03-入力校验</x:v>
      </x:c>
      <x:c r="F16" s="34" t="str">
        <x:v>Controller</x:v>
      </x:c>
      <x:c r="G16" s="34" t="str">
        <x:v>password 必須</x:v>
      </x:c>
      <x:c r="H16" s="34" t="str">
        <x:v>境界</x:v>
      </x:c>
      <x:c r="I16" s="34" t="str"/>
      <x:c r="J16" s="34" t="str">
        <x:v>-</x:v>
      </x:c>
      <x:c r="K16" s="34" t="str">
        <x:v>password=空文字</x:v>
      </x:c>
      <x:c r="L16" s="34" t="str">
        <x:v>Service呼出なし</x:v>
      </x:c>
      <x:c r="M16" s="34" t="str">
        <x:v>400 COMMON-4000</x:v>
      </x:c>
      <x:c r="N16" s="34" t="str">
        <x:v>未実施</x:v>
      </x:c>
      <x:c r="O16" s="34"/>
      <x:c r="P16" s="34" t="str">
        <x:v>evidence/UT-AUTH-001-009.png</x:v>
      </x:c>
      <x:c r="Q16" t="str"/>
      <x:c r="R16"/>
      <x:c r="S16"/>
      <x:c r="T16"/>
    </x:row>
    <x:row r="17" ht="30" customHeight="1">
      <x:c r="A17" s="34" t="str">
        <x:v>UT-AUTH-001-010</x:v>
      </x:c>
      <x:c r="B17" s="34" t="str">
        <x:v>M01</x:v>
      </x:c>
      <x:c r="C17" s="34" t="str">
        <x:v>API-AUTH-001</x:v>
      </x:c>
      <x:c r="D17" s="34" t="str">
        <x:v>CW-DD-API-AUTH-001-R</x:v>
      </x:c>
      <x:c r="E17" s="34" t="str">
        <x:v>03-入力校验</x:v>
      </x:c>
      <x:c r="F17" s="34" t="str">
        <x:v>Controller</x:v>
      </x:c>
      <x:c r="G17" s="34" t="str">
        <x:v>password 桁</x:v>
      </x:c>
      <x:c r="H17" s="34" t="str">
        <x:v>境界</x:v>
      </x:c>
      <x:c r="I17" s="34" t="str"/>
      <x:c r="J17" s="34" t="str">
        <x:v>-</x:v>
      </x:c>
      <x:c r="K17" s="34" t="str">
        <x:v>100文字</x:v>
      </x:c>
      <x:c r="L17" s="34" t="str">
        <x:v>Service=認証NG</x:v>
      </x:c>
      <x:c r="M17" s="34" t="str">
        <x:v>Validation通過後401</x:v>
      </x:c>
      <x:c r="N17" s="34" t="str">
        <x:v>未実施</x:v>
      </x:c>
      <x:c r="O17" s="34"/>
      <x:c r="P17" s="34" t="str">
        <x:v>evidence/UT-AUTH-001-010.png</x:v>
      </x:c>
      <x:c r="Q17" t="str"/>
      <x:c r="R17"/>
      <x:c r="S17"/>
      <x:c r="T17"/>
    </x:row>
    <x:row r="18" ht="30" customHeight="1">
      <x:c r="A18" s="34" t="str">
        <x:v>UT-AUTH-001-011</x:v>
      </x:c>
      <x:c r="B18" s="34" t="str">
        <x:v>M01</x:v>
      </x:c>
      <x:c r="C18" s="34" t="str">
        <x:v>API-AUTH-001</x:v>
      </x:c>
      <x:c r="D18" s="34" t="str">
        <x:v>CW-DD-API-AUTH-001-R</x:v>
      </x:c>
      <x:c r="E18" s="34" t="str">
        <x:v>03-入力校验</x:v>
      </x:c>
      <x:c r="F18" s="34" t="str">
        <x:v>Controller</x:v>
      </x:c>
      <x:c r="G18" s="34" t="str">
        <x:v>password 桁</x:v>
      </x:c>
      <x:c r="H18" s="34" t="str">
        <x:v>境界</x:v>
      </x:c>
      <x:c r="I18" s="34" t="str"/>
      <x:c r="J18" s="34" t="str">
        <x:v>-</x:v>
      </x:c>
      <x:c r="K18" s="34" t="str">
        <x:v>101文字</x:v>
      </x:c>
      <x:c r="L18" s="34" t="str">
        <x:v>Service呼出なし</x:v>
      </x:c>
      <x:c r="M18" s="34" t="str">
        <x:v>400 COMMON-4000</x:v>
      </x:c>
      <x:c r="N18" s="34" t="str">
        <x:v>未実施</x:v>
      </x:c>
      <x:c r="O18" s="34"/>
      <x:c r="P18" s="34" t="str">
        <x:v>evidence/UT-AUTH-001-011.png</x:v>
      </x:c>
      <x:c r="Q18" t="str"/>
      <x:c r="R18"/>
      <x:c r="S18"/>
      <x:c r="T18"/>
    </x:row>
    <x:row r="19" ht="30" customHeight="1">
      <x:c r="A19" s="34" t="str">
        <x:v>UT-AUTH-001-012</x:v>
      </x:c>
      <x:c r="B19" s="34" t="str">
        <x:v>M01</x:v>
      </x:c>
      <x:c r="C19" s="34" t="str">
        <x:v>API-AUTH-001</x:v>
      </x:c>
      <x:c r="D19" s="34" t="str">
        <x:v>CW-DD-API-AUTH-001-R</x:v>
      </x:c>
      <x:c r="E19" s="34" t="str">
        <x:v>04-処理業務フロー</x:v>
      </x:c>
      <x:c r="F19" s="34" t="str">
        <x:v>Service</x:v>
      </x:c>
      <x:c r="G19" s="34" t="str">
        <x:v>正常Login</x:v>
      </x:c>
      <x:c r="H19" s="34" t="str">
        <x:v>正常</x:v>
      </x:c>
      <x:c r="I19" s="34" t="str">
        <x:v>TD-AUTH-001</x:v>
      </x:c>
      <x:c r="J19" s="34" t="str">
        <x:v>有効User/未Lock</x:v>
      </x:c>
      <x:c r="K19" s="34" t="str">
        <x:v>正しいPassword</x:v>
      </x:c>
      <x:c r="L19" s="34" t="str">
        <x:v>User/Role/Permission存在,Redis正常</x:v>
      </x:c>
      <x:c r="M19" s="34" t="str">
        <x:v>Access Token/ユーザー情報を返却</x:v>
      </x:c>
      <x:c r="N19" s="34" t="str">
        <x:v>未実施</x:v>
      </x:c>
      <x:c r="O19" s="34"/>
      <x:c r="P19" s="34" t="str">
        <x:v>evidence/UT-AUTH-001-012.png</x:v>
      </x:c>
      <x:c r="Q19" t="str"/>
      <x:c r="R19"/>
      <x:c r="S19"/>
      <x:c r="T19"/>
    </x:row>
    <x:row r="20" ht="30" customHeight="1">
      <x:c r="A20" s="34" t="str">
        <x:v>UT-AUTH-001-013</x:v>
      </x:c>
      <x:c r="B20" s="34" t="str">
        <x:v>M01</x:v>
      </x:c>
      <x:c r="C20" s="34" t="str">
        <x:v>API-AUTH-001</x:v>
      </x:c>
      <x:c r="D20" s="34" t="str">
        <x:v>CW-DD-API-AUTH-001-R</x:v>
      </x:c>
      <x:c r="E20" s="34" t="str">
        <x:v>04-処理業務フロー</x:v>
      </x:c>
      <x:c r="F20" s="34" t="str">
        <x:v>Service</x:v>
      </x:c>
      <x:c r="G20" s="34" t="str">
        <x:v>不存在User</x:v>
      </x:c>
      <x:c r="H20" s="34" t="str">
        <x:v>業務異常</x:v>
      </x:c>
      <x:c r="I20" s="34" t="str">
        <x:v>TD-AUTH-006</x:v>
      </x:c>
      <x:c r="J20" s="34" t="str">
        <x:v>User不存在</x:v>
      </x:c>
      <x:c r="K20" s="34" t="str">
        <x:v>任意Password</x:v>
      </x:c>
      <x:c r="L20" s="34" t="str">
        <x:v>Repository=empty</x:v>
      </x:c>
      <x:c r="M20" s="34" t="str">
        <x:v>401 AUTH-4001/存在秘匿Message</x:v>
      </x:c>
      <x:c r="N20" s="34" t="str">
        <x:v>未実施</x:v>
      </x:c>
      <x:c r="O20" s="34"/>
      <x:c r="P20" s="34" t="str">
        <x:v>evidence/UT-AUTH-001-013.png</x:v>
      </x:c>
      <x:c r="Q20" t="str"/>
      <x:c r="R20"/>
      <x:c r="S20"/>
      <x:c r="T20"/>
    </x:row>
    <x:row r="21" ht="30" customHeight="1">
      <x:c r="A21" s="34" t="str">
        <x:v>UT-AUTH-001-014</x:v>
      </x:c>
      <x:c r="B21" s="34" t="str">
        <x:v>M01</x:v>
      </x:c>
      <x:c r="C21" s="34" t="str">
        <x:v>API-AUTH-001</x:v>
      </x:c>
      <x:c r="D21" s="34" t="str">
        <x:v>CW-DD-API-AUTH-001-R</x:v>
      </x:c>
      <x:c r="E21" s="34" t="str">
        <x:v>04-処理業務フロー</x:v>
      </x:c>
      <x:c r="F21" s="34" t="str">
        <x:v>Service</x:v>
      </x:c>
      <x:c r="G21" s="34" t="str">
        <x:v>Password不一致</x:v>
      </x:c>
      <x:c r="H21" s="34" t="str">
        <x:v>業務異常</x:v>
      </x:c>
      <x:c r="I21" s="34" t="str"/>
      <x:c r="J21" s="34" t="str">
        <x:v>有効User</x:v>
      </x:c>
      <x:c r="K21" s="34" t="str">
        <x:v>誤Password</x:v>
      </x:c>
      <x:c r="L21" s="34" t="str">
        <x:v>PasswordEncoder=false</x:v>
      </x:c>
      <x:c r="M21" s="34" t="str">
        <x:v>401 AUTH-4001/不存在と同一Message</x:v>
      </x:c>
      <x:c r="N21" s="34" t="str">
        <x:v>未実施</x:v>
      </x:c>
      <x:c r="O21" s="34"/>
      <x:c r="P21" s="34" t="str">
        <x:v>evidence/UT-AUTH-001-014.png</x:v>
      </x:c>
      <x:c r="Q21" t="str"/>
      <x:c r="R21"/>
      <x:c r="S21"/>
      <x:c r="T21"/>
    </x:row>
    <x:row r="22" ht="30" customHeight="1">
      <x:c r="A22" s="34" t="str">
        <x:v>UT-AUTH-001-015</x:v>
      </x:c>
      <x:c r="B22" s="34" t="str">
        <x:v>M01</x:v>
      </x:c>
      <x:c r="C22" s="34" t="str">
        <x:v>API-AUTH-001</x:v>
      </x:c>
      <x:c r="D22" s="34" t="str">
        <x:v>CW-DD-API-AUTH-001-R</x:v>
      </x:c>
      <x:c r="E22" s="34" t="str">
        <x:v>04-処理業務フロー</x:v>
      </x:c>
      <x:c r="F22" s="34" t="str">
        <x:v>Service</x:v>
      </x:c>
      <x:c r="G22" s="34" t="str">
        <x:v>停止User</x:v>
      </x:c>
      <x:c r="H22" s="34" t="str">
        <x:v>業務異常</x:v>
      </x:c>
      <x:c r="I22" s="34" t="str">
        <x:v>TD-AUTH-003</x:v>
      </x:c>
      <x:c r="J22" s="34" t="str">
        <x:v>enabled=false</x:v>
      </x:c>
      <x:c r="K22" s="34" t="str">
        <x:v>正しいPassword</x:v>
      </x:c>
      <x:c r="L22" s="34" t="str">
        <x:v>User存在</x:v>
      </x:c>
      <x:c r="M22" s="34" t="str">
        <x:v>403 AUTH-4005/Token未発行</x:v>
      </x:c>
      <x:c r="N22" s="34" t="str">
        <x:v>未実施</x:v>
      </x:c>
      <x:c r="O22" s="34"/>
      <x:c r="P22" s="34" t="str">
        <x:v>evidence/UT-AUTH-001-015.png</x:v>
      </x:c>
      <x:c r="Q22" t="str"/>
      <x:c r="R22"/>
      <x:c r="S22"/>
      <x:c r="T22"/>
    </x:row>
    <x:row r="23" ht="30" customHeight="1">
      <x:c r="A23" s="34" t="str">
        <x:v>UT-AUTH-001-016</x:v>
      </x:c>
      <x:c r="B23" s="34" t="str">
        <x:v>M01</x:v>
      </x:c>
      <x:c r="C23" s="34" t="str">
        <x:v>API-AUTH-001</x:v>
      </x:c>
      <x:c r="D23" s="34" t="str">
        <x:v>CW-DD-API-AUTH-001-R</x:v>
      </x:c>
      <x:c r="E23" s="34" t="str">
        <x:v>04-処理業務フロー</x:v>
      </x:c>
      <x:c r="F23" s="34" t="str">
        <x:v>Service</x:v>
      </x:c>
      <x:c r="G23" s="34" t="str">
        <x:v>論理削除User</x:v>
      </x:c>
      <x:c r="H23" s="34" t="str">
        <x:v>業務異常</x:v>
      </x:c>
      <x:c r="I23" s="34" t="str">
        <x:v>TD-AUTH-007</x:v>
      </x:c>
      <x:c r="J23" s="34" t="str">
        <x:v>deleted=true</x:v>
      </x:c>
      <x:c r="K23" s="34" t="str">
        <x:v>正しいPassword</x:v>
      </x:c>
      <x:c r="L23" s="34" t="str">
        <x:v>通常検索対象外</x:v>
      </x:c>
      <x:c r="M23" s="34" t="str">
        <x:v>401 AUTH-4001</x:v>
      </x:c>
      <x:c r="N23" s="34" t="str">
        <x:v>未実施</x:v>
      </x:c>
      <x:c r="O23" s="34"/>
      <x:c r="P23" s="34" t="str">
        <x:v>evidence/UT-AUTH-001-016.png</x:v>
      </x:c>
      <x:c r="Q23" t="str"/>
      <x:c r="R23"/>
      <x:c r="S23"/>
      <x:c r="T23"/>
    </x:row>
    <x:row r="24" ht="30" customHeight="1">
      <x:c r="A24" s="34" t="str">
        <x:v>UT-AUTH-001-017</x:v>
      </x:c>
      <x:c r="B24" s="34" t="str">
        <x:v>M01</x:v>
      </x:c>
      <x:c r="C24" s="34" t="str">
        <x:v>API-AUTH-001</x:v>
      </x:c>
      <x:c r="D24" s="34" t="str">
        <x:v>CW-DD-API-AUTH-001-R</x:v>
      </x:c>
      <x:c r="E24" s="34" t="str">
        <x:v>04-処理業務フロー</x:v>
      </x:c>
      <x:c r="F24" s="34" t="str">
        <x:v>Service</x:v>
      </x:c>
      <x:c r="G24" s="34" t="str">
        <x:v>Lock中</x:v>
      </x:c>
      <x:c r="H24" s="34" t="str">
        <x:v>業務異常</x:v>
      </x:c>
      <x:c r="I24" s="34" t="str">
        <x:v>TD-AUTH-004</x:v>
      </x:c>
      <x:c r="J24" s="34" t="str">
        <x:v>lockedUntil&gt;now</x:v>
      </x:c>
      <x:c r="K24" s="34" t="str">
        <x:v>正しいPassword</x:v>
      </x:c>
      <x:c r="L24" s="34" t="str">
        <x:v>User存在</x:v>
      </x:c>
      <x:c r="M24" s="34" t="str">
        <x:v>423 AUTH-4004/Password照合なし</x:v>
      </x:c>
      <x:c r="N24" s="34" t="str">
        <x:v>未実施</x:v>
      </x:c>
      <x:c r="O24" s="34"/>
      <x:c r="P24" s="34" t="str">
        <x:v>evidence/UT-AUTH-001-017.png</x:v>
      </x:c>
      <x:c r="Q24" t="str"/>
      <x:c r="R24"/>
      <x:c r="S24"/>
      <x:c r="T24"/>
    </x:row>
    <x:row r="25" ht="30" customHeight="1">
      <x:c r="A25" s="34" t="str">
        <x:v>UT-AUTH-001-018</x:v>
      </x:c>
      <x:c r="B25" s="34" t="str">
        <x:v>M01</x:v>
      </x:c>
      <x:c r="C25" s="34" t="str">
        <x:v>API-AUTH-001</x:v>
      </x:c>
      <x:c r="D25" s="34" t="str">
        <x:v>CW-DD-API-AUTH-001-R</x:v>
      </x:c>
      <x:c r="E25" s="34" t="str">
        <x:v>04-処理業務フロー</x:v>
      </x:c>
      <x:c r="F25" s="34" t="str">
        <x:v>Service</x:v>
      </x:c>
      <x:c r="G25" s="34" t="str">
        <x:v>Lock期限切れ</x:v>
      </x:c>
      <x:c r="H25" s="34" t="str">
        <x:v>境界</x:v>
      </x:c>
      <x:c r="I25" s="34" t="str">
        <x:v>TD-AUTH-008</x:v>
      </x:c>
      <x:c r="J25" s="34" t="str">
        <x:v>lockedUntil=now-1秒</x:v>
      </x:c>
      <x:c r="K25" s="34" t="str">
        <x:v>正しいPassword</x:v>
      </x:c>
      <x:c r="L25" s="34" t="str">
        <x:v>Redis Counter残存</x:v>
      </x:c>
      <x:c r="M25" s="34" t="str">
        <x:v>Login成功/Counter Clear</x:v>
      </x:c>
      <x:c r="N25" s="34" t="str">
        <x:v>未実施</x:v>
      </x:c>
      <x:c r="O25" s="34"/>
      <x:c r="P25" s="34" t="str">
        <x:v>evidence/UT-AUTH-001-018.png</x:v>
      </x:c>
      <x:c r="Q25" t="str"/>
      <x:c r="R25"/>
      <x:c r="S25"/>
      <x:c r="T25"/>
    </x:row>
    <x:row r="26" ht="30" customHeight="1">
      <x:c r="A26" s="34" t="str">
        <x:v>UT-AUTH-001-019</x:v>
      </x:c>
      <x:c r="B26" s="34" t="str">
        <x:v>M01</x:v>
      </x:c>
      <x:c r="C26" s="34" t="str">
        <x:v>API-AUTH-001</x:v>
      </x:c>
      <x:c r="D26" s="34" t="str">
        <x:v>CW-DD-API-AUTH-001-R</x:v>
      </x:c>
      <x:c r="E26" s="34" t="str">
        <x:v>04-処理業務フロー</x:v>
      </x:c>
      <x:c r="F26" s="34" t="str">
        <x:v>Service</x:v>
      </x:c>
      <x:c r="G26" s="34" t="str">
        <x:v>失敗1回目</x:v>
      </x:c>
      <x:c r="H26" s="34" t="str">
        <x:v>業務異常</x:v>
      </x:c>
      <x:c r="I26" s="34" t="str">
        <x:v>TD-AUTH-009</x:v>
      </x:c>
      <x:c r="J26" s="34" t="str">
        <x:v>失敗0回</x:v>
      </x:c>
      <x:c r="K26" s="34" t="str">
        <x:v>誤Password</x:v>
      </x:c>
      <x:c r="L26" s="34" t="str">
        <x:v>Redis increment=1</x:v>
      </x:c>
      <x:c r="M26" s="34" t="str">
        <x:v>401/Lockなし</x:v>
      </x:c>
      <x:c r="N26" s="34" t="str">
        <x:v>未実施</x:v>
      </x:c>
      <x:c r="O26" s="34"/>
      <x:c r="P26" s="34" t="str">
        <x:v>evidence/UT-AUTH-001-019.png</x:v>
      </x:c>
      <x:c r="Q26" t="str"/>
      <x:c r="R26"/>
      <x:c r="S26"/>
      <x:c r="T26"/>
    </x:row>
    <x:row r="27" ht="30" customHeight="1">
      <x:c r="A27" s="34" t="str">
        <x:v>UT-AUTH-001-020</x:v>
      </x:c>
      <x:c r="B27" s="34" t="str">
        <x:v>M01</x:v>
      </x:c>
      <x:c r="C27" s="34" t="str">
        <x:v>API-AUTH-001</x:v>
      </x:c>
      <x:c r="D27" s="34" t="str">
        <x:v>CW-DD-API-AUTH-001-R</x:v>
      </x:c>
      <x:c r="E27" s="34" t="str">
        <x:v>04-処理業務フロー</x:v>
      </x:c>
      <x:c r="F27" s="34" t="str">
        <x:v>Service</x:v>
      </x:c>
      <x:c r="G27" s="34" t="str">
        <x:v>失敗4回目</x:v>
      </x:c>
      <x:c r="H27" s="34" t="str">
        <x:v>境界</x:v>
      </x:c>
      <x:c r="I27" s="34" t="str">
        <x:v>TD-AUTH-009</x:v>
      </x:c>
      <x:c r="J27" s="34" t="str">
        <x:v>失敗3回</x:v>
      </x:c>
      <x:c r="K27" s="34" t="str">
        <x:v>誤Password</x:v>
      </x:c>
      <x:c r="L27" s="34" t="str">
        <x:v>Redis increment=4</x:v>
      </x:c>
      <x:c r="M27" s="34" t="str">
        <x:v>401/Lockなし</x:v>
      </x:c>
      <x:c r="N27" s="34" t="str">
        <x:v>未実施</x:v>
      </x:c>
      <x:c r="O27" s="34"/>
      <x:c r="P27" s="34" t="str">
        <x:v>evidence/UT-AUTH-001-020.png</x:v>
      </x:c>
      <x:c r="Q27" t="str"/>
      <x:c r="R27"/>
      <x:c r="S27"/>
      <x:c r="T27"/>
    </x:row>
    <x:row r="28" ht="30" customHeight="1">
      <x:c r="A28" s="34" t="str">
        <x:v>UT-AUTH-001-021</x:v>
      </x:c>
      <x:c r="B28" s="34" t="str">
        <x:v>M01</x:v>
      </x:c>
      <x:c r="C28" s="34" t="str">
        <x:v>API-AUTH-001</x:v>
      </x:c>
      <x:c r="D28" s="34" t="str">
        <x:v>CW-DD-API-AUTH-001-R</x:v>
      </x:c>
      <x:c r="E28" s="34" t="str">
        <x:v>04-処理業務フロー</x:v>
      </x:c>
      <x:c r="F28" s="34" t="str">
        <x:v>Service</x:v>
      </x:c>
      <x:c r="G28" s="34" t="str">
        <x:v>失敗5回目</x:v>
      </x:c>
      <x:c r="H28" s="34" t="str">
        <x:v>境界</x:v>
      </x:c>
      <x:c r="I28" s="34" t="str">
        <x:v>TD-AUTH-009</x:v>
      </x:c>
      <x:c r="J28" s="34" t="str">
        <x:v>失敗4回</x:v>
      </x:c>
      <x:c r="K28" s="34" t="str">
        <x:v>誤Password</x:v>
      </x:c>
      <x:c r="L28" s="34" t="str">
        <x:v>Redis increment=5</x:v>
      </x:c>
      <x:c r="M28" s="34" t="str">
        <x:v>lockedUntil=now+30分/423 AUTH-4004</x:v>
      </x:c>
      <x:c r="N28" s="34" t="str">
        <x:v>未実施</x:v>
      </x:c>
      <x:c r="O28" s="34"/>
      <x:c r="P28" s="34" t="str">
        <x:v>evidence/UT-AUTH-001-021.png</x:v>
      </x:c>
      <x:c r="Q28" t="str"/>
      <x:c r="R28"/>
      <x:c r="S28"/>
      <x:c r="T28"/>
    </x:row>
    <x:row r="29" ht="30" customHeight="1">
      <x:c r="A29" s="34" t="str">
        <x:v>UT-AUTH-001-022</x:v>
      </x:c>
      <x:c r="B29" s="34" t="str">
        <x:v>M01</x:v>
      </x:c>
      <x:c r="C29" s="34" t="str">
        <x:v>API-AUTH-001</x:v>
      </x:c>
      <x:c r="D29" s="34" t="str">
        <x:v>CW-DD-API-AUTH-001-R</x:v>
      </x:c>
      <x:c r="E29" s="34" t="str">
        <x:v>04-処理業務フロー</x:v>
      </x:c>
      <x:c r="F29" s="34" t="str">
        <x:v>Service</x:v>
      </x:c>
      <x:c r="G29" s="34" t="str">
        <x:v>成功時Counter Clear</x:v>
      </x:c>
      <x:c r="H29" s="34" t="str">
        <x:v>正常</x:v>
      </x:c>
      <x:c r="I29" s="34" t="str">
        <x:v>TD-AUTH-009</x:v>
      </x:c>
      <x:c r="J29" s="34" t="str">
        <x:v>失敗4回</x:v>
      </x:c>
      <x:c r="K29" s="34" t="str">
        <x:v>正しいPassword</x:v>
      </x:c>
      <x:c r="L29" s="34" t="str">
        <x:v>Redis Counter=4</x:v>
      </x:c>
      <x:c r="M29" s="34" t="str">
        <x:v>Login成功/Counter削除/lockedUntil null</x:v>
      </x:c>
      <x:c r="N29" s="34" t="str">
        <x:v>未実施</x:v>
      </x:c>
      <x:c r="O29" s="34"/>
      <x:c r="P29" s="34" t="str">
        <x:v>evidence/UT-AUTH-001-022.png</x:v>
      </x:c>
      <x:c r="Q29" t="str"/>
      <x:c r="R29"/>
      <x:c r="S29"/>
      <x:c r="T29"/>
    </x:row>
    <x:row r="30" ht="30" customHeight="1">
      <x:c r="A30" s="34" t="str">
        <x:v>UT-AUTH-001-023</x:v>
      </x:c>
      <x:c r="B30" s="34" t="str">
        <x:v>M01</x:v>
      </x:c>
      <x:c r="C30" s="34" t="str">
        <x:v>API-AUTH-001</x:v>
      </x:c>
      <x:c r="D30" s="34" t="str">
        <x:v>CW-DD-API-AUTH-001-R</x:v>
      </x:c>
      <x:c r="E30" s="34" t="str">
        <x:v>04-処理業務フロー</x:v>
      </x:c>
      <x:c r="F30" s="34" t="str">
        <x:v>Service</x:v>
      </x:c>
      <x:c r="G30" s="34" t="str">
        <x:v>同時失敗</x:v>
      </x:c>
      <x:c r="H30" s="34" t="str">
        <x:v>排他</x:v>
      </x:c>
      <x:c r="I30" s="34" t="str">
        <x:v>TD-AUTH-009</x:v>
      </x:c>
      <x:c r="J30" s="34" t="str">
        <x:v>失敗4回</x:v>
      </x:c>
      <x:c r="K30" s="34" t="str">
        <x:v>2Request同時誤Password</x:v>
      </x:c>
      <x:c r="L30" s="34" t="str">
        <x:v>Redis atomic increment</x:v>
      </x:c>
      <x:c r="M30" s="34" t="str">
        <x:v>Lock一回設定/両方401/回数不整合なし</x:v>
      </x:c>
      <x:c r="N30" s="34" t="str">
        <x:v>未実施</x:v>
      </x:c>
      <x:c r="O30" s="34"/>
      <x:c r="P30" s="34" t="str">
        <x:v>evidence/UT-AUTH-001-023.png</x:v>
      </x:c>
      <x:c r="Q30" t="str"/>
      <x:c r="R30"/>
      <x:c r="S30"/>
      <x:c r="T30"/>
    </x:row>
    <x:row r="31" ht="30" customHeight="1">
      <x:c r="A31" s="34" t="str">
        <x:v>UT-AUTH-001-024</x:v>
      </x:c>
      <x:c r="B31" s="34" t="str">
        <x:v>M01</x:v>
      </x:c>
      <x:c r="C31" s="34" t="str">
        <x:v>API-AUTH-001</x:v>
      </x:c>
      <x:c r="D31" s="34" t="str">
        <x:v>CW-DD-API-AUTH-001-R</x:v>
      </x:c>
      <x:c r="E31" s="34" t="str">
        <x:v>04-処理業務フロー</x:v>
      </x:c>
      <x:c r="F31" s="34" t="str">
        <x:v>Service</x:v>
      </x:c>
      <x:c r="G31" s="34" t="str">
        <x:v>Role取得0件</x:v>
      </x:c>
      <x:c r="H31" s="34" t="str">
        <x:v>業務異常</x:v>
      </x:c>
      <x:c r="I31" s="34" t="str">
        <x:v>TD-AUTH-005</x:v>
      </x:c>
      <x:c r="J31" s="34" t="str">
        <x:v>有効User/Roleなし</x:v>
      </x:c>
      <x:c r="K31" s="34" t="str">
        <x:v>正しいPassword</x:v>
      </x:c>
      <x:c r="L31" s="34" t="str">
        <x:v>roles=[]</x:v>
      </x:c>
      <x:c r="M31" s="34" t="str">
        <x:v>403 AUTH-4006/Token未発行</x:v>
      </x:c>
      <x:c r="N31" s="34" t="str">
        <x:v>未実施</x:v>
      </x:c>
      <x:c r="O31" s="34"/>
      <x:c r="P31" s="34" t="str">
        <x:v>evidence/UT-AUTH-001-024.png</x:v>
      </x:c>
      <x:c r="Q31" t="str"/>
      <x:c r="R31"/>
      <x:c r="S31"/>
      <x:c r="T31"/>
    </x:row>
    <x:row r="32" ht="30" customHeight="1">
      <x:c r="A32" s="34" t="str">
        <x:v>UT-AUTH-001-025</x:v>
      </x:c>
      <x:c r="B32" s="34" t="str">
        <x:v>M01</x:v>
      </x:c>
      <x:c r="C32" s="34" t="str">
        <x:v>API-AUTH-001</x:v>
      </x:c>
      <x:c r="D32" s="34" t="str">
        <x:v>CW-DD-API-AUTH-001-R</x:v>
      </x:c>
      <x:c r="E32" s="34" t="str">
        <x:v>04-処理業務フロー</x:v>
      </x:c>
      <x:c r="F32" s="34" t="str">
        <x:v>Service</x:v>
      </x:c>
      <x:c r="G32" s="34" t="str">
        <x:v>複数Role</x:v>
      </x:c>
      <x:c r="H32" s="34" t="str">
        <x:v>正常</x:v>
      </x:c>
      <x:c r="I32" s="34" t="str">
        <x:v>TD-AUTH-002</x:v>
      </x:c>
      <x:c r="J32" s="34" t="str">
        <x:v>ADMIN+PM</x:v>
      </x:c>
      <x:c r="K32" s="34" t="str">
        <x:v>正しいPassword</x:v>
      </x:c>
      <x:c r="L32" s="34" t="str">
        <x:v>Permission重複あり</x:v>
      </x:c>
      <x:c r="M32" s="34" t="str">
        <x:v>Role/Permission重複排除</x:v>
      </x:c>
      <x:c r="N32" s="34" t="str">
        <x:v>未実施</x:v>
      </x:c>
      <x:c r="O32" s="34"/>
      <x:c r="P32" s="34" t="str">
        <x:v>evidence/UT-AUTH-001-025.png</x:v>
      </x:c>
      <x:c r="Q32" t="str"/>
      <x:c r="R32"/>
      <x:c r="S32"/>
      <x:c r="T32"/>
    </x:row>
    <x:row r="33" ht="30" customHeight="1">
      <x:c r="A33" s="34" t="str">
        <x:v>UT-AUTH-001-026</x:v>
      </x:c>
      <x:c r="B33" s="34" t="str">
        <x:v>M01</x:v>
      </x:c>
      <x:c r="C33" s="34" t="str">
        <x:v>API-AUTH-001</x:v>
      </x:c>
      <x:c r="D33" s="34" t="str">
        <x:v>CW-DD-API-AUTH-001-R</x:v>
      </x:c>
      <x:c r="E33" s="34" t="str">
        <x:v>04-処理業務フロー</x:v>
      </x:c>
      <x:c r="F33" s="34" t="str">
        <x:v>Service</x:v>
      </x:c>
      <x:c r="G33" s="34" t="str">
        <x:v>Permission取得</x:v>
      </x:c>
      <x:c r="H33" s="34" t="str">
        <x:v>正常</x:v>
      </x:c>
      <x:c r="I33" s="34" t="str">
        <x:v>TD-AUTH-002</x:v>
      </x:c>
      <x:c r="J33" s="34" t="str">
        <x:v>ROLE-EMP</x:v>
      </x:c>
      <x:c r="K33" s="34" t="str">
        <x:v>正しいPassword</x:v>
      </x:c>
      <x:c r="L33" s="34" t="str">
        <x:v>Permission一覧</x:v>
      </x:c>
      <x:c r="M33" s="34" t="str">
        <x:v>Token ClaimとResponseに許可Codeのみ</x:v>
      </x:c>
      <x:c r="N33" s="34" t="str">
        <x:v>未実施</x:v>
      </x:c>
      <x:c r="O33" s="34"/>
      <x:c r="P33" s="34" t="str">
        <x:v>evidence/UT-AUTH-001-026.png</x:v>
      </x:c>
      <x:c r="Q33" t="str"/>
      <x:c r="R33"/>
      <x:c r="S33"/>
      <x:c r="T33"/>
    </x:row>
    <x:row r="34" ht="30" customHeight="1">
      <x:c r="A34" s="34" t="str">
        <x:v>UT-AUTH-001-027</x:v>
      </x:c>
      <x:c r="B34" s="34" t="str">
        <x:v>M01</x:v>
      </x:c>
      <x:c r="C34" s="34" t="str">
        <x:v>API-AUTH-001</x:v>
      </x:c>
      <x:c r="D34" s="34" t="str">
        <x:v>CW-DD-API-AUTH-001-R</x:v>
      </x:c>
      <x:c r="E34" s="34" t="str">
        <x:v>04-処理業務フロー</x:v>
      </x:c>
      <x:c r="F34" s="34" t="str">
        <x:v>JWT</x:v>
      </x:c>
      <x:c r="G34" s="34" t="str">
        <x:v>Access期限</x:v>
      </x:c>
      <x:c r="H34" s="34" t="str">
        <x:v>正常</x:v>
      </x:c>
      <x:c r="I34" s="34" t="str"/>
      <x:c r="J34" s="34" t="str">
        <x:v>Login成功</x:v>
      </x:c>
      <x:c r="K34" s="34" t="str">
        <x:v>-</x:v>
      </x:c>
      <x:c r="L34" s="34" t="str">
        <x:v>Clock固定</x:v>
      </x:c>
      <x:c r="M34" s="34" t="str">
        <x:v>expiresIn=1800秒</x:v>
      </x:c>
      <x:c r="N34" s="34" t="str">
        <x:v>未実施</x:v>
      </x:c>
      <x:c r="O34" s="34"/>
      <x:c r="P34" s="34" t="str">
        <x:v>evidence/UT-AUTH-001-027.png</x:v>
      </x:c>
      <x:c r="Q34" t="str"/>
      <x:c r="R34"/>
      <x:c r="S34"/>
      <x:c r="T34"/>
    </x:row>
    <x:row r="35" ht="30" customHeight="1">
      <x:c r="A35" s="34" t="str">
        <x:v>UT-AUTH-001-028</x:v>
      </x:c>
      <x:c r="B35" s="34" t="str">
        <x:v>M01</x:v>
      </x:c>
      <x:c r="C35" s="34" t="str">
        <x:v>API-AUTH-001</x:v>
      </x:c>
      <x:c r="D35" s="34" t="str">
        <x:v>CW-DD-API-AUTH-001-R</x:v>
      </x:c>
      <x:c r="E35" s="34" t="str">
        <x:v>04-処理業務フロー</x:v>
      </x:c>
      <x:c r="F35" s="34" t="str">
        <x:v>JWT</x:v>
      </x:c>
      <x:c r="G35" s="34" t="str">
        <x:v>JWT Claims</x:v>
      </x:c>
      <x:c r="H35" s="34" t="str">
        <x:v>正常</x:v>
      </x:c>
      <x:c r="I35" s="34" t="str"/>
      <x:c r="J35" s="34" t="str">
        <x:v>Login成功</x:v>
      </x:c>
      <x:c r="K35" s="34" t="str">
        <x:v>-</x:v>
      </x:c>
      <x:c r="L35" s="34" t="str">
        <x:v>Issuer/Audience/User/Role</x:v>
      </x:c>
      <x:c r="M35" s="34" t="str">
        <x:v>必須Claimが正しく署名される</x:v>
      </x:c>
      <x:c r="N35" s="34" t="str">
        <x:v>未実施</x:v>
      </x:c>
      <x:c r="O35" s="34"/>
      <x:c r="P35" s="34" t="str">
        <x:v>evidence/UT-AUTH-001-028.png</x:v>
      </x:c>
      <x:c r="Q35" t="str"/>
      <x:c r="R35"/>
      <x:c r="S35"/>
      <x:c r="T35"/>
    </x:row>
    <x:row r="36" ht="30" customHeight="1">
      <x:c r="A36" s="34" t="str">
        <x:v>UT-AUTH-001-029</x:v>
      </x:c>
      <x:c r="B36" s="34" t="str">
        <x:v>M01</x:v>
      </x:c>
      <x:c r="C36" s="34" t="str">
        <x:v>API-AUTH-001</x:v>
      </x:c>
      <x:c r="D36" s="34" t="str">
        <x:v>CW-DD-API-AUTH-001-R</x:v>
      </x:c>
      <x:c r="E36" s="34" t="str">
        <x:v>04-処理業務フロー</x:v>
      </x:c>
      <x:c r="F36" s="34" t="str">
        <x:v>JWT</x:v>
      </x:c>
      <x:c r="G36" s="34" t="str">
        <x:v>Token機密</x:v>
      </x:c>
      <x:c r="H36" s="34" t="str">
        <x:v>Security</x:v>
      </x:c>
      <x:c r="I36" s="34" t="str"/>
      <x:c r="J36" s="34" t="str">
        <x:v>Login成功</x:v>
      </x:c>
      <x:c r="K36" s="34" t="str">
        <x:v>-</x:v>
      </x:c>
      <x:c r="L36" s="34" t="str">
        <x:v>Logger Capture</x:v>
      </x:c>
      <x:c r="M36" s="34" t="str">
        <x:v>Token/PasswordがLogに出ない</x:v>
      </x:c>
      <x:c r="N36" s="34" t="str">
        <x:v>未実施</x:v>
      </x:c>
      <x:c r="O36" s="34"/>
      <x:c r="P36" s="34" t="str">
        <x:v>evidence/UT-AUTH-001-029.png</x:v>
      </x:c>
      <x:c r="Q36" t="str"/>
      <x:c r="R36"/>
      <x:c r="S36"/>
      <x:c r="T36"/>
    </x:row>
    <x:row r="37" ht="30" customHeight="1">
      <x:c r="A37" s="34" t="str">
        <x:v>UT-AUTH-001-030</x:v>
      </x:c>
      <x:c r="B37" s="34" t="str">
        <x:v>M01</x:v>
      </x:c>
      <x:c r="C37" s="34" t="str">
        <x:v>API-AUTH-001</x:v>
      </x:c>
      <x:c r="D37" s="34" t="str">
        <x:v>CW-DD-API-AUTH-001-R</x:v>
      </x:c>
      <x:c r="E37" s="34" t="str">
        <x:v>04-処理業務フロー</x:v>
      </x:c>
      <x:c r="F37" s="34" t="str">
        <x:v>Service</x:v>
      </x:c>
      <x:c r="G37" s="34" t="str">
        <x:v>Refresh保存</x:v>
      </x:c>
      <x:c r="H37" s="34" t="str">
        <x:v>正常</x:v>
      </x:c>
      <x:c r="I37" s="34" t="str"/>
      <x:c r="J37" s="34" t="str">
        <x:v>Login成功</x:v>
      </x:c>
      <x:c r="K37" s="34" t="str">
        <x:v>-</x:v>
      </x:c>
      <x:c r="L37" s="34" t="str">
        <x:v>DB/Redis正常</x:v>
      </x:c>
      <x:c r="M37" s="34" t="str">
        <x:v>Hashのみ保存、TTL=7日</x:v>
      </x:c>
      <x:c r="N37" s="34" t="str">
        <x:v>未実施</x:v>
      </x:c>
      <x:c r="O37" s="34"/>
      <x:c r="P37" s="34" t="str">
        <x:v>evidence/UT-AUTH-001-030.png</x:v>
      </x:c>
      <x:c r="Q37" t="str"/>
      <x:c r="R37"/>
      <x:c r="S37"/>
      <x:c r="T37"/>
    </x:row>
    <x:row r="38" ht="30" customHeight="1">
      <x:c r="A38" s="34" t="str">
        <x:v>UT-AUTH-001-031</x:v>
      </x:c>
      <x:c r="B38" s="34" t="str">
        <x:v>M01</x:v>
      </x:c>
      <x:c r="C38" s="34" t="str">
        <x:v>API-AUTH-001</x:v>
      </x:c>
      <x:c r="D38" s="34" t="str">
        <x:v>CW-DD-API-AUTH-001-R</x:v>
      </x:c>
      <x:c r="E38" s="34" t="str">
        <x:v>04-処理業務フロー</x:v>
      </x:c>
      <x:c r="F38" s="34" t="str">
        <x:v>Service</x:v>
      </x:c>
      <x:c r="G38" s="34" t="str">
        <x:v>Refresh DB失敗</x:v>
      </x:c>
      <x:c r="H38" s="34" t="str">
        <x:v>Transaction</x:v>
      </x:c>
      <x:c r="I38" s="34" t="str">
        <x:v>TD-AUTH-010</x:v>
      </x:c>
      <x:c r="J38" s="34" t="str">
        <x:v>Login処理中</x:v>
      </x:c>
      <x:c r="K38" s="34" t="str">
        <x:v>-</x:v>
      </x:c>
      <x:c r="L38" s="34" t="str">
        <x:v>DB insert例外</x:v>
      </x:c>
      <x:c r="M38" s="34" t="str">
        <x:v>Token返却なし/500/関連更新Rollback</x:v>
      </x:c>
      <x:c r="N38" s="34" t="str">
        <x:v>未実施</x:v>
      </x:c>
      <x:c r="O38" s="34"/>
      <x:c r="P38" s="34" t="str">
        <x:v>evidence/UT-AUTH-001-031.png</x:v>
      </x:c>
      <x:c r="Q38" t="str"/>
      <x:c r="R38"/>
      <x:c r="S38"/>
      <x:c r="T38"/>
    </x:row>
    <x:row r="39" ht="30" customHeight="1">
      <x:c r="A39" s="34" t="str">
        <x:v>UT-AUTH-001-032</x:v>
      </x:c>
      <x:c r="B39" s="34" t="str">
        <x:v>M01</x:v>
      </x:c>
      <x:c r="C39" s="34" t="str">
        <x:v>API-AUTH-001</x:v>
      </x:c>
      <x:c r="D39" s="34" t="str">
        <x:v>CW-DD-API-AUTH-001-R</x:v>
      </x:c>
      <x:c r="E39" s="34" t="str">
        <x:v>04-処理業務フロー</x:v>
      </x:c>
      <x:c r="F39" s="34" t="str">
        <x:v>Service</x:v>
      </x:c>
      <x:c r="G39" s="34" t="str">
        <x:v>Redis失敗</x:v>
      </x:c>
      <x:c r="H39" s="34" t="str">
        <x:v>障害</x:v>
      </x:c>
      <x:c r="I39" s="34" t="str">
        <x:v>TD-AUTH-011</x:v>
      </x:c>
      <x:c r="J39" s="34" t="str">
        <x:v>DB正常</x:v>
      </x:c>
      <x:c r="K39" s="34" t="str">
        <x:v>-</x:v>
      </x:c>
      <x:c r="L39" s="34" t="str">
        <x:v>Redis接続例外</x:v>
      </x:c>
      <x:c r="M39" s="34" t="str">
        <x:v>500 COMMON-5000/機密なし</x:v>
      </x:c>
      <x:c r="N39" s="34" t="str">
        <x:v>未実施</x:v>
      </x:c>
      <x:c r="O39" s="34"/>
      <x:c r="P39" s="34" t="str">
        <x:v>evidence/UT-AUTH-001-032.png</x:v>
      </x:c>
      <x:c r="Q39" t="str"/>
      <x:c r="R39"/>
      <x:c r="S39"/>
      <x:c r="T39"/>
    </x:row>
    <x:row r="40" ht="30" customHeight="1">
      <x:c r="A40" s="34" t="str">
        <x:v>UT-AUTH-001-033</x:v>
      </x:c>
      <x:c r="B40" s="34" t="str">
        <x:v>M01</x:v>
      </x:c>
      <x:c r="C40" s="34" t="str">
        <x:v>API-AUTH-001</x:v>
      </x:c>
      <x:c r="D40" s="34" t="str">
        <x:v>CW-DD-API-AUTH-001-R</x:v>
      </x:c>
      <x:c r="E40" s="34" t="str">
        <x:v>04-処理業務フロー</x:v>
      </x:c>
      <x:c r="F40" s="34" t="str">
        <x:v>Service</x:v>
      </x:c>
      <x:c r="G40" s="34" t="str">
        <x:v>Login History成功</x:v>
      </x:c>
      <x:c r="H40" s="34" t="str">
        <x:v>Log</x:v>
      </x:c>
      <x:c r="I40" s="34" t="str"/>
      <x:c r="J40" s="34" t="str">
        <x:v>Login成功</x:v>
      </x:c>
      <x:c r="K40" s="34" t="str">
        <x:v>-</x:v>
      </x:c>
      <x:c r="L40" s="34" t="str">
        <x:v>History Repository</x:v>
      </x:c>
      <x:c r="M40" s="34" t="str">
        <x:v>SUCCESS/User/IP/UserAgent記録</x:v>
      </x:c>
      <x:c r="N40" s="34" t="str">
        <x:v>未実施</x:v>
      </x:c>
      <x:c r="O40" s="34"/>
      <x:c r="P40" s="34" t="str">
        <x:v>evidence/UT-AUTH-001-033.png</x:v>
      </x:c>
      <x:c r="Q40" t="str"/>
      <x:c r="R40"/>
      <x:c r="S40"/>
      <x:c r="T40"/>
    </x:row>
    <x:row r="41" ht="30" customHeight="1">
      <x:c r="A41" s="34" t="str">
        <x:v>UT-AUTH-001-034</x:v>
      </x:c>
      <x:c r="B41" s="34" t="str">
        <x:v>M01</x:v>
      </x:c>
      <x:c r="C41" s="34" t="str">
        <x:v>API-AUTH-001</x:v>
      </x:c>
      <x:c r="D41" s="34" t="str">
        <x:v>CW-DD-API-AUTH-001-R</x:v>
      </x:c>
      <x:c r="E41" s="34" t="str">
        <x:v>04-処理業務フロー</x:v>
      </x:c>
      <x:c r="F41" s="34" t="str">
        <x:v>Service</x:v>
      </x:c>
      <x:c r="G41" s="34" t="str">
        <x:v>Login History失敗</x:v>
      </x:c>
      <x:c r="H41" s="34" t="str">
        <x:v>Log</x:v>
      </x:c>
      <x:c r="I41" s="34" t="str"/>
      <x:c r="J41" s="34" t="str">
        <x:v>不存在User</x:v>
      </x:c>
      <x:c r="K41" s="34" t="str">
        <x:v>-</x:v>
      </x:c>
      <x:c r="L41" s="34" t="str">
        <x:v>History Repository</x:v>
      </x:c>
      <x:c r="M41" s="34" t="str">
        <x:v>FAIL/入力username/IP記録、Passwordなし</x:v>
      </x:c>
      <x:c r="N41" s="34" t="str">
        <x:v>未実施</x:v>
      </x:c>
      <x:c r="O41" s="34"/>
      <x:c r="P41" s="34" t="str">
        <x:v>evidence/UT-AUTH-001-034.png</x:v>
      </x:c>
      <x:c r="Q41" t="str"/>
      <x:c r="R41"/>
      <x:c r="S41"/>
      <x:c r="T41"/>
    </x:row>
    <x:row r="42" ht="30" customHeight="1">
      <x:c r="A42" s="34" t="str">
        <x:v>UT-AUTH-001-035</x:v>
      </x:c>
      <x:c r="B42" s="34" t="str">
        <x:v>M01</x:v>
      </x:c>
      <x:c r="C42" s="34" t="str">
        <x:v>API-AUTH-001</x:v>
      </x:c>
      <x:c r="D42" s="34" t="str">
        <x:v>CW-DD-API-AUTH-001-R</x:v>
      </x:c>
      <x:c r="E42" s="34" t="str">
        <x:v>04-処理業務フロー</x:v>
      </x:c>
      <x:c r="F42" s="34" t="str">
        <x:v>Service</x:v>
      </x:c>
      <x:c r="G42" s="34" t="str">
        <x:v>lastLogin更新</x:v>
      </x:c>
      <x:c r="H42" s="34" t="str">
        <x:v>DB</x:v>
      </x:c>
      <x:c r="I42" s="34" t="str"/>
      <x:c r="J42" s="34" t="str">
        <x:v>Login成功</x:v>
      </x:c>
      <x:c r="K42" s="34" t="str">
        <x:v>-</x:v>
      </x:c>
      <x:c r="L42" s="34" t="str">
        <x:v>Clock固定</x:v>
      </x:c>
      <x:c r="M42" s="34" t="str">
        <x:v>last_login_at更新/version+1</x:v>
      </x:c>
      <x:c r="N42" s="34" t="str">
        <x:v>未実施</x:v>
      </x:c>
      <x:c r="O42" s="34"/>
      <x:c r="P42" s="34" t="str">
        <x:v>evidence/UT-AUTH-001-035.png</x:v>
      </x:c>
      <x:c r="Q42" t="str"/>
      <x:c r="R42"/>
      <x:c r="S42"/>
      <x:c r="T42"/>
    </x:row>
    <x:row r="43" ht="30" customHeight="1">
      <x:c r="A43" s="34" t="str">
        <x:v>UT-AUTH-001-036</x:v>
      </x:c>
      <x:c r="B43" s="34" t="str">
        <x:v>M01</x:v>
      </x:c>
      <x:c r="C43" s="34" t="str">
        <x:v>API-AUTH-001</x:v>
      </x:c>
      <x:c r="D43" s="34" t="str">
        <x:v>CW-DD-API-AUTH-001-R</x:v>
      </x:c>
      <x:c r="E43" s="34" t="str">
        <x:v>06-単体Test観点</x:v>
      </x:c>
      <x:c r="F43" s="34" t="str">
        <x:v>ControllerAdvice</x:v>
      </x:c>
      <x:c r="G43" s="34" t="str">
        <x:v>Validation変換</x:v>
      </x:c>
      <x:c r="H43" s="34" t="str">
        <x:v>例外</x:v>
      </x:c>
      <x:c r="I43" s="34" t="str"/>
      <x:c r="J43" s="34" t="str">
        <x:v>MethodArgumentNotValid</x:v>
      </x:c>
      <x:c r="K43" s="34" t="str">
        <x:v>-</x:v>
      </x:c>
      <x:c r="L43" s="34" t="str">
        <x:v>-</x:v>
      </x:c>
      <x:c r="M43" s="34" t="str">
        <x:v>400/code/message/fieldErrors/traceId</x:v>
      </x:c>
      <x:c r="N43" s="34" t="str">
        <x:v>未実施</x:v>
      </x:c>
      <x:c r="O43" s="34"/>
      <x:c r="P43" s="34" t="str">
        <x:v>evidence/UT-AUTH-001-036.png</x:v>
      </x:c>
      <x:c r="Q43" t="str"/>
      <x:c r="R43"/>
      <x:c r="S43"/>
      <x:c r="T43"/>
    </x:row>
    <x:row r="44" ht="30" customHeight="1">
      <x:c r="A44" s="34" t="str">
        <x:v>UT-AUTH-001-037</x:v>
      </x:c>
      <x:c r="B44" s="34" t="str">
        <x:v>M01</x:v>
      </x:c>
      <x:c r="C44" s="34" t="str">
        <x:v>API-AUTH-001</x:v>
      </x:c>
      <x:c r="D44" s="34" t="str">
        <x:v>CW-DD-API-AUTH-001-R</x:v>
      </x:c>
      <x:c r="E44" s="34" t="str">
        <x:v>06-単体Test観点</x:v>
      </x:c>
      <x:c r="F44" s="34" t="str">
        <x:v>ControllerAdvice</x:v>
      </x:c>
      <x:c r="G44" s="34" t="str">
        <x:v>認証例外変換</x:v>
      </x:c>
      <x:c r="H44" s="34" t="str">
        <x:v>例外</x:v>
      </x:c>
      <x:c r="I44" s="34" t="str"/>
      <x:c r="J44" s="34" t="str">
        <x:v>AuthenticationException</x:v>
      </x:c>
      <x:c r="K44" s="34" t="str">
        <x:v>-</x:v>
      </x:c>
      <x:c r="L44" s="34" t="str">
        <x:v>-</x:v>
      </x:c>
      <x:c r="M44" s="34" t="str">
        <x:v>401 AUTH-4001/Stack非返却</x:v>
      </x:c>
      <x:c r="N44" s="34" t="str">
        <x:v>未実施</x:v>
      </x:c>
      <x:c r="O44" s="34"/>
      <x:c r="P44" s="34" t="str">
        <x:v>evidence/UT-AUTH-001-037.png</x:v>
      </x:c>
      <x:c r="Q44" t="str"/>
      <x:c r="R44"/>
      <x:c r="S44"/>
      <x:c r="T44"/>
    </x:row>
    <x:row r="45" ht="30" customHeight="1">
      <x:c r="A45" s="34" t="str">
        <x:v>UT-AUTH-001-038</x:v>
      </x:c>
      <x:c r="B45" s="34" t="str">
        <x:v>M01</x:v>
      </x:c>
      <x:c r="C45" s="34" t="str">
        <x:v>API-AUTH-001</x:v>
      </x:c>
      <x:c r="D45" s="34" t="str">
        <x:v>CW-DD-API-AUTH-001-R</x:v>
      </x:c>
      <x:c r="E45" s="34" t="str">
        <x:v>06-単体Test観点</x:v>
      </x:c>
      <x:c r="F45" s="34" t="str">
        <x:v>ControllerAdvice</x:v>
      </x:c>
      <x:c r="G45" s="34" t="str">
        <x:v>DB例外変換</x:v>
      </x:c>
      <x:c r="H45" s="34" t="str">
        <x:v>例外</x:v>
      </x:c>
      <x:c r="I45" s="34" t="str"/>
      <x:c r="J45" s="34" t="str">
        <x:v>DataAccessException</x:v>
      </x:c>
      <x:c r="K45" s="34" t="str">
        <x:v>-</x:v>
      </x:c>
      <x:c r="L45" s="34" t="str">
        <x:v>-</x:v>
      </x:c>
      <x:c r="M45" s="34" t="str">
        <x:v>500 COMMON-5000/SQL非返却</x:v>
      </x:c>
      <x:c r="N45" s="34" t="str">
        <x:v>未実施</x:v>
      </x:c>
      <x:c r="O45" s="34"/>
      <x:c r="P45" s="34" t="str">
        <x:v>evidence/UT-AUTH-001-038.png</x:v>
      </x:c>
      <x:c r="Q45" t="str"/>
      <x:c r="R45"/>
      <x:c r="S45"/>
      <x:c r="T45"/>
    </x:row>
    <x:row r="46" ht="30" customHeight="1">
      <x:c r="A46" s="34" t="str">
        <x:v>UT-AUTH-001-039</x:v>
      </x:c>
      <x:c r="B46" s="34" t="str">
        <x:v>M01</x:v>
      </x:c>
      <x:c r="C46" s="34" t="str">
        <x:v>API-AUTH-001</x:v>
      </x:c>
      <x:c r="D46" s="34" t="str">
        <x:v>CW-DD-API-AUTH-001-R</x:v>
      </x:c>
      <x:c r="E46" s="34" t="str">
        <x:v>06-単体Test観点</x:v>
      </x:c>
      <x:c r="F46" s="34" t="str">
        <x:v>Security</x:v>
      </x:c>
      <x:c r="G46" s="34" t="str">
        <x:v>Rate Limit内</x:v>
      </x:c>
      <x:c r="H46" s="34" t="str">
        <x:v>境界</x:v>
      </x:c>
      <x:c r="I46" s="34" t="str"/>
      <x:c r="J46" s="34" t="str">
        <x:v>同IP/User 9回/分</x:v>
      </x:c>
      <x:c r="K46" s="34" t="str">
        <x:v>10回目Request</x:v>
      </x:c>
      <x:c r="L46" s="34" t="str">
        <x:v>Redis Counter</x:v>
      </x:c>
      <x:c r="M46" s="34" t="str">
        <x:v>認証処理継続</x:v>
      </x:c>
      <x:c r="N46" s="34" t="str">
        <x:v>未実施</x:v>
      </x:c>
      <x:c r="O46" s="34"/>
      <x:c r="P46" s="34" t="str">
        <x:v>evidence/UT-AUTH-001-039.png</x:v>
      </x:c>
      <x:c r="Q46" t="str"/>
      <x:c r="R46"/>
      <x:c r="S46"/>
      <x:c r="T46"/>
    </x:row>
    <x:row r="47" ht="30" customHeight="1">
      <x:c r="A47" s="34" t="str">
        <x:v>UT-AUTH-001-040</x:v>
      </x:c>
      <x:c r="B47" s="34" t="str">
        <x:v>M01</x:v>
      </x:c>
      <x:c r="C47" s="34" t="str">
        <x:v>API-AUTH-001</x:v>
      </x:c>
      <x:c r="D47" s="34" t="str">
        <x:v>CW-DD-API-AUTH-001-R</x:v>
      </x:c>
      <x:c r="E47" s="34" t="str">
        <x:v>06-単体Test観点</x:v>
      </x:c>
      <x:c r="F47" s="34" t="str">
        <x:v>Security</x:v>
      </x:c>
      <x:c r="G47" s="34" t="str">
        <x:v>Rate Limit超過</x:v>
      </x:c>
      <x:c r="H47" s="34" t="str">
        <x:v>境界</x:v>
      </x:c>
      <x:c r="I47" s="34" t="str">
        <x:v>TD-AUTH-012</x:v>
      </x:c>
      <x:c r="J47" s="34" t="str">
        <x:v>同IP/User 10回/分</x:v>
      </x:c>
      <x:c r="K47" s="34" t="str">
        <x:v>11回目Request</x:v>
      </x:c>
      <x:c r="L47" s="34" t="str">
        <x:v>Redis Counter</x:v>
      </x:c>
      <x:c r="M47" s="34" t="str">
        <x:v>429/認証処理未実施</x:v>
      </x:c>
      <x:c r="N47" s="34" t="str">
        <x:v>未実施</x:v>
      </x:c>
      <x:c r="O47" s="34"/>
      <x:c r="P47" s="34" t="str">
        <x:v>evidence/UT-AUTH-001-040.png</x:v>
      </x:c>
      <x:c r="Q47" t="str"/>
      <x:c r="R47"/>
      <x:c r="S47"/>
      <x:c r="T47"/>
    </x:row>
    <x:row r="48" ht="30" customHeight="1">
      <x:c r="A48" s="34" t="str">
        <x:v>UT-AUTH-001-041</x:v>
      </x:c>
      <x:c r="B48" s="34" t="str">
        <x:v>M01</x:v>
      </x:c>
      <x:c r="C48" s="34" t="str">
        <x:v>API-AUTH-001</x:v>
      </x:c>
      <x:c r="D48" s="34" t="str">
        <x:v>CW-DD-API-AUTH-001-R</x:v>
      </x:c>
      <x:c r="E48" s="34" t="str">
        <x:v>06-単体Test観点</x:v>
      </x:c>
      <x:c r="F48" s="34" t="str">
        <x:v>Security</x:v>
      </x:c>
      <x:c r="G48" s="34" t="str">
        <x:v>SQL Injection文字列</x:v>
      </x:c>
      <x:c r="H48" s="34" t="str">
        <x:v>Security</x:v>
      </x:c>
      <x:c r="I48" s="34" t="str"/>
      <x:c r="J48" s="34" t="str">
        <x:v>User不存在</x:v>
      </x:c>
      <x:c r="K48" s="34" t="str">
        <x:v>username=' OR 1=1 --</x:v>
      </x:c>
      <x:c r="L48" s="34" t="str">
        <x:v>MyBatis bind</x:v>
      </x:c>
      <x:c r="M48" s="34" t="str">
        <x:v>認証失敗/SQL文字列連結なし</x:v>
      </x:c>
      <x:c r="N48" s="34" t="str">
        <x:v>未実施</x:v>
      </x:c>
      <x:c r="O48" s="34"/>
      <x:c r="P48" s="34" t="str">
        <x:v>evidence/UT-AUTH-001-041.png</x:v>
      </x:c>
      <x:c r="Q48" t="str"/>
      <x:c r="R48"/>
      <x:c r="S48"/>
      <x:c r="T48"/>
    </x:row>
    <x:row r="49" ht="30" customHeight="1">
      <x:c r="A49" s="34" t="str">
        <x:v>UT-AUTH-001-042</x:v>
      </x:c>
      <x:c r="B49" s="34" t="str">
        <x:v>M01</x:v>
      </x:c>
      <x:c r="C49" s="34" t="str">
        <x:v>API-AUTH-001</x:v>
      </x:c>
      <x:c r="D49" s="34" t="str">
        <x:v>CW-DD-API-AUTH-001-R</x:v>
      </x:c>
      <x:c r="E49" s="34" t="str">
        <x:v>06-単体Test観点</x:v>
      </x:c>
      <x:c r="F49" s="34" t="str">
        <x:v>Security</x:v>
      </x:c>
      <x:c r="G49" s="34" t="str">
        <x:v>Unicode username</x:v>
      </x:c>
      <x:c r="H49" s="34" t="str">
        <x:v>境界</x:v>
      </x:c>
      <x:c r="I49" s="34" t="str"/>
      <x:c r="J49" s="34" t="str">
        <x:v>該当Userなし</x:v>
      </x:c>
      <x:c r="K49" s="34" t="str">
        <x:v>全角/Emoji</x:v>
      </x:c>
      <x:c r="L49" s="34" t="str">
        <x:v>Repository bind</x:v>
      </x:c>
      <x:c r="M49" s="34" t="str">
        <x:v>500にならず401</x:v>
      </x:c>
      <x:c r="N49" s="34" t="str">
        <x:v>未実施</x:v>
      </x:c>
      <x:c r="O49" s="34"/>
      <x:c r="P49" s="34" t="str">
        <x:v>evidence/UT-AUTH-001-042.png</x:v>
      </x:c>
      <x:c r="Q49" t="str"/>
      <x:c r="R49"/>
      <x:c r="S49"/>
      <x:c r="T49"/>
    </x:row>
    <x:row r="50" ht="30" customHeight="1">
      <x:c r="A50" s="34" t="str">
        <x:v>UT-AUTH-001-043</x:v>
      </x:c>
      <x:c r="B50" s="34" t="str">
        <x:v>M01</x:v>
      </x:c>
      <x:c r="C50" s="34" t="str">
        <x:v>API-AUTH-001</x:v>
      </x:c>
      <x:c r="D50" s="34" t="str">
        <x:v>CW-DD-API-AUTH-001-R</x:v>
      </x:c>
      <x:c r="E50" s="34" t="str">
        <x:v>06-単体Test観点</x:v>
      </x:c>
      <x:c r="F50" s="34" t="str">
        <x:v>Controller</x:v>
      </x:c>
      <x:c r="G50" s="34" t="str">
        <x:v>Content-Type不正</x:v>
      </x:c>
      <x:c r="H50" s="34" t="str">
        <x:v>入力異常</x:v>
      </x:c>
      <x:c r="I50" s="34" t="str"/>
      <x:c r="J50" s="34" t="str">
        <x:v>-</x:v>
      </x:c>
      <x:c r="K50" s="34" t="str">
        <x:v>text/plain</x:v>
      </x:c>
      <x:c r="L50" s="34" t="str">
        <x:v>Service呼出なし</x:v>
      </x:c>
      <x:c r="M50" s="34" t="str">
        <x:v>415</x:v>
      </x:c>
      <x:c r="N50" s="34" t="str">
        <x:v>未実施</x:v>
      </x:c>
      <x:c r="O50" s="34"/>
      <x:c r="P50" s="34" t="str">
        <x:v>evidence/UT-AUTH-001-043.png</x:v>
      </x:c>
      <x:c r="Q50" t="str"/>
      <x:c r="R50"/>
      <x:c r="S50"/>
      <x:c r="T50"/>
    </x:row>
    <x:row r="51" ht="30" customHeight="1">
      <x:c r="A51" s="34" t="str">
        <x:v>UT-AUTH-001-044</x:v>
      </x:c>
      <x:c r="B51" s="34" t="str">
        <x:v>M01</x:v>
      </x:c>
      <x:c r="C51" s="34" t="str">
        <x:v>API-AUTH-001</x:v>
      </x:c>
      <x:c r="D51" s="34" t="str">
        <x:v>CW-DD-API-AUTH-001-R</x:v>
      </x:c>
      <x:c r="E51" s="34" t="str">
        <x:v>06-単体Test観点</x:v>
      </x:c>
      <x:c r="F51" s="34" t="str">
        <x:v>Controller</x:v>
      </x:c>
      <x:c r="G51" s="34" t="str">
        <x:v>JSON不正</x:v>
      </x:c>
      <x:c r="H51" s="34" t="str">
        <x:v>入力異常</x:v>
      </x:c>
      <x:c r="I51" s="34" t="str"/>
      <x:c r="J51" s="34" t="str">
        <x:v>-</x:v>
      </x:c>
      <x:c r="K51" s="34" t="str">
        <x:v>壊れたJSON</x:v>
      </x:c>
      <x:c r="L51" s="34" t="str">
        <x:v>Service呼出なし</x:v>
      </x:c>
      <x:c r="M51" s="34" t="str">
        <x:v>400 COMMON-4000</x:v>
      </x:c>
      <x:c r="N51" s="34" t="str">
        <x:v>未実施</x:v>
      </x:c>
      <x:c r="O51" s="34"/>
      <x:c r="P51" s="34" t="str">
        <x:v>evidence/UT-AUTH-001-044.png</x:v>
      </x:c>
      <x:c r="Q51" t="str"/>
      <x:c r="R51"/>
      <x:c r="S51"/>
      <x:c r="T51"/>
    </x:row>
    <x:row r="52" ht="30" customHeight="1">
      <x:c r="A52" s="34" t="str">
        <x:v>UT-AUTH-001-045</x:v>
      </x:c>
      <x:c r="B52" s="34" t="str">
        <x:v>M01</x:v>
      </x:c>
      <x:c r="C52" s="34" t="str">
        <x:v>API-AUTH-001</x:v>
      </x:c>
      <x:c r="D52" s="34" t="str">
        <x:v>CW-DD-API-AUTH-001-R</x:v>
      </x:c>
      <x:c r="E52" s="34" t="str">
        <x:v>06-単体Test観点</x:v>
      </x:c>
      <x:c r="F52" s="34" t="str">
        <x:v>Response</x:v>
      </x:c>
      <x:c r="G52" s="34" t="str">
        <x:v>traceId</x:v>
      </x:c>
      <x:c r="H52" s="34" t="str">
        <x:v>Log</x:v>
      </x:c>
      <x:c r="I52" s="34" t="str"/>
      <x:c r="J52" s="34" t="str">
        <x:v>Login成功</x:v>
      </x:c>
      <x:c r="K52" s="34" t="str">
        <x:v>-</x:v>
      </x:c>
      <x:c r="L52" s="34" t="str">
        <x:v>Trace Context固定</x:v>
      </x:c>
      <x:c r="M52" s="34" t="str">
        <x:v>Response traceIdとLog traceId一致</x:v>
      </x:c>
      <x:c r="N52" s="34" t="str">
        <x:v>未実施</x:v>
      </x:c>
      <x:c r="O52" s="34"/>
      <x:c r="P52" s="34" t="str">
        <x:v>evidence/UT-AUTH-001-045.png</x:v>
      </x:c>
      <x:c r="Q52" t="str"/>
      <x:c r="R52"/>
      <x:c r="S52"/>
      <x:c r="T52"/>
    </x:row>
    <x:row r="53" ht="30" customHeight="1">
      <x:c r="A53" s="34" t="str">
        <x:v>UT-AUTH-001-046</x:v>
      </x:c>
      <x:c r="B53" s="34" t="str">
        <x:v>M01</x:v>
      </x:c>
      <x:c r="C53" s="34" t="str">
        <x:v>API-AUTH-001</x:v>
      </x:c>
      <x:c r="D53" s="34" t="str">
        <x:v>CW-DD-API-AUTH-001-R</x:v>
      </x:c>
      <x:c r="E53" s="34" t="str">
        <x:v>06-単体Test観点</x:v>
      </x:c>
      <x:c r="F53" s="34" t="str">
        <x:v>Response</x:v>
      </x:c>
      <x:c r="G53" s="34" t="str">
        <x:v>timestamp</x:v>
      </x:c>
      <x:c r="H53" s="34" t="str">
        <x:v>正常</x:v>
      </x:c>
      <x:c r="I53" s="34" t="str"/>
      <x:c r="J53" s="34" t="str">
        <x:v>Login成功</x:v>
      </x:c>
      <x:c r="K53" s="34" t="str">
        <x:v>-</x:v>
      </x:c>
      <x:c r="L53" s="34" t="str">
        <x:v>Clock固定</x:v>
      </x:c>
      <x:c r="M53" s="34" t="str">
        <x:v>ISO-8601/Asia-Tokyo基準</x:v>
      </x:c>
      <x:c r="N53" s="34" t="str">
        <x:v>未実施</x:v>
      </x:c>
      <x:c r="O53" s="34"/>
      <x:c r="P53" s="34" t="str">
        <x:v>evidence/UT-AUTH-001-046.png</x:v>
      </x:c>
      <x:c r="Q53" t="str"/>
      <x:c r="R53"/>
      <x:c r="S53"/>
      <x:c r="T53"/>
    </x:row>
    <x:row r="54" ht="30" customHeight="1">
      <x:c r="A54" s="34" t="str">
        <x:v>UT-AUTH-001-047</x:v>
      </x:c>
      <x:c r="B54" s="34" t="str">
        <x:v>M01</x:v>
      </x:c>
      <x:c r="C54" s="34" t="str">
        <x:v>API-AUTH-001</x:v>
      </x:c>
      <x:c r="D54" s="34" t="str">
        <x:v>CW-DD-API-AUTH-001-R</x:v>
      </x:c>
      <x:c r="E54" s="34" t="str">
        <x:v>06-単体Test観点</x:v>
      </x:c>
      <x:c r="F54" s="34" t="str">
        <x:v>Performance</x:v>
      </x:c>
      <x:c r="G54" s="34" t="str">
        <x:v>Repository回数</x:v>
      </x:c>
      <x:c r="H54" s="34" t="str">
        <x:v>性能</x:v>
      </x:c>
      <x:c r="I54" s="34" t="str"/>
      <x:c r="J54" s="34" t="str">
        <x:v>Login成功</x:v>
      </x:c>
      <x:c r="K54" s="34" t="str">
        <x:v>-</x:v>
      </x:c>
      <x:c r="L54" s="34" t="str">
        <x:v>Mock Call Count</x:v>
      </x:c>
      <x:c r="M54" s="34" t="str">
        <x:v>User/Role取得が定義回数以内、N+1なし</x:v>
      </x:c>
      <x:c r="N54" s="34" t="str">
        <x:v>未実施</x:v>
      </x:c>
      <x:c r="O54" s="34"/>
      <x:c r="P54" s="34" t="str">
        <x:v>evidence/UT-AUTH-001-047.png</x:v>
      </x:c>
      <x:c r="Q54" t="str"/>
      <x:c r="R54"/>
      <x:c r="S54"/>
      <x:c r="T54"/>
    </x:row>
    <x:row r="55" ht="30" customHeight="1">
      <x:c r="A55" s="34" t="str">
        <x:v>UT-AUTH-001-048</x:v>
      </x:c>
      <x:c r="B55" s="34" t="str">
        <x:v>M01</x:v>
      </x:c>
      <x:c r="C55" s="34" t="str">
        <x:v>API-AUTH-001</x:v>
      </x:c>
      <x:c r="D55" s="34" t="str">
        <x:v>CW-DD-API-AUTH-001-R</x:v>
      </x:c>
      <x:c r="E55" s="34" t="str">
        <x:v>06-単体Test観点</x:v>
      </x:c>
      <x:c r="F55" s="34" t="str">
        <x:v>Service</x:v>
      </x:c>
      <x:c r="G55" s="34" t="str">
        <x:v>Password Hash照合</x:v>
      </x:c>
      <x:c r="H55" s="34" t="str">
        <x:v>Security</x:v>
      </x:c>
      <x:c r="I55" s="34" t="str"/>
      <x:c r="J55" s="34" t="str">
        <x:v>有効User</x:v>
      </x:c>
      <x:c r="K55" s="34" t="str">
        <x:v>正しいPassword</x:v>
      </x:c>
      <x:c r="L55" s="34" t="str">
        <x:v>BCrypt cost=12 hash</x:v>
      </x:c>
      <x:c r="M55" s="34" t="str">
        <x:v>平文比較せずPasswordEncoder使用</x:v>
      </x:c>
      <x:c r="N55" s="34" t="str">
        <x:v>未実施</x:v>
      </x:c>
      <x:c r="O55" s="34"/>
      <x:c r="P55" s="34" t="str">
        <x:v>evidence/UT-AUTH-001-048.png</x:v>
      </x:c>
      <x:c r="Q55" t="str"/>
      <x:c r="R55"/>
      <x:c r="S55"/>
      <x:c r="T55"/>
    </x:row>
    <x:row r="56" ht="30" customHeight="1">
      <x:c r="A56" s="34" t="str">
        <x:v>UT-AUTH-001-049</x:v>
      </x:c>
      <x:c r="B56" s="34" t="str">
        <x:v>M01</x:v>
      </x:c>
      <x:c r="C56" s="34" t="str">
        <x:v>API-AUTH-001</x:v>
      </x:c>
      <x:c r="D56" s="34" t="str">
        <x:v>CW-DD-API-AUTH-001-R</x:v>
      </x:c>
      <x:c r="E56" s="34" t="str">
        <x:v>06-単体Test観点</x:v>
      </x:c>
      <x:c r="F56" s="34" t="str">
        <x:v>Service</x:v>
      </x:c>
      <x:c r="G56" s="34" t="str">
        <x:v>Response user項目</x:v>
      </x:c>
      <x:c r="H56" s="34" t="str">
        <x:v>業務異常</x:v>
      </x:c>
      <x:c r="I56" s="34" t="str"/>
      <x:c r="J56" s="34" t="str">
        <x:v>Login成功</x:v>
      </x:c>
      <x:c r="K56" s="34" t="str">
        <x:v>有効なusername/password</x:v>
      </x:c>
      <x:c r="L56" s="34" t="str">
        <x:v>User/Role/Permission存在</x:v>
      </x:c>
      <x:c r="M56" s="34" t="str">
        <x:v>Responseのuser{id,username,name,roles,permissions}が基本設計どおりである</x:v>
      </x:c>
      <x:c r="N56" s="34" t="str">
        <x:v>未実施</x:v>
      </x:c>
      <x:c r="O56" s="34"/>
      <x:c r="P56" s="34" t="str">
        <x:v>evidence/UT-AUTH-001-049.png</x:v>
      </x:c>
      <x:c r="Q56" t="str"/>
      <x:c r="R56"/>
      <x:c r="S56"/>
      <x:c r="T56"/>
    </x:row>
    <x:row r="57" ht="30" customHeight="1">
      <x:c r="A57" s="34" t="str">
        <x:v>UT-AUTH-001-050</x:v>
      </x:c>
      <x:c r="B57" s="34" t="str">
        <x:v>M01</x:v>
      </x:c>
      <x:c r="C57" s="34" t="str">
        <x:v>API-AUTH-001</x:v>
      </x:c>
      <x:c r="D57" s="34" t="str">
        <x:v>CW-DD-API-AUTH-001-R</x:v>
      </x:c>
      <x:c r="E57" s="34" t="str">
        <x:v>06-単体Test観点</x:v>
      </x:c>
      <x:c r="F57" s="34" t="str">
        <x:v>Controller</x:v>
      </x:c>
      <x:c r="G57" s="34" t="str">
        <x:v>Response Entity非公開</x:v>
      </x:c>
      <x:c r="H57" s="34" t="str">
        <x:v>Security</x:v>
      </x:c>
      <x:c r="I57" s="34" t="str"/>
      <x:c r="J57" s="34" t="str">
        <x:v>Login成功</x:v>
      </x:c>
      <x:c r="K57" s="34" t="str">
        <x:v>-</x:v>
      </x:c>
      <x:c r="L57" s="34" t="str">
        <x:v>User Entityにpassword_hashあり</x:v>
      </x:c>
      <x:c r="M57" s="34" t="str">
        <x:v>ResponseにpasswordHash/lockedUntil非出力</x:v>
      </x:c>
      <x:c r="N57" s="34" t="str">
        <x:v>未実施</x:v>
      </x:c>
      <x:c r="O57" s="34"/>
      <x:c r="P57" s="34" t="str">
        <x:v>evidence/UT-AUTH-001-050.png</x:v>
      </x:c>
      <x:c r="Q57" t="str"/>
      <x:c r="R57"/>
      <x:c r="S57"/>
      <x:c r="T57"/>
    </x:row>
  </x:sheetData>
  <x:mergeCells>
    <x:mergeCell ref="A1:P2"/>
    <x:mergeCell ref="A6:P6"/>
  </x:mergeCells>
  <x:conditionalFormatting sqref="K8:K207">
    <x:cfRule type="containsText" dxfId="0" priority="1" operator="containsText" text="OK"/>
    <x:cfRule type="containsText" dxfId="1" priority="2" operator="containsText" text="NG"/>
  </x:conditionalFormatting>
  <x:dataValidations count="2">
    <x:dataValidation type="list" sqref="K8:K207">
      <x:formula1>"未実施,OK,NG,保留,対象外"</x:formula1>
    </x:dataValidation>
    <x:dataValidation type="list" sqref="N8:N207">
      <x:formula1>"未実施,OK,NG,保留,対象外"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58" hidden="0" customWidth="1"/>
    <x:col min="5" max="5" width="20" hidden="0" customWidth="1"/>
    <x:col min="6" max="6" width="34" hidden="0" customWidth="1"/>
    <x:col min="7" max="7" width="42" hidden="0" customWidth="1"/>
  </x:cols>
  <x:sheetData>
    <x:row r="1">
      <x:c r="A1" s="35" t="str">
        <x:v>単体Test Data</x:v>
      </x:c>
      <x:c r="B1" s="35"/>
      <x:c r="C1" s="35"/>
      <x:c r="D1" s="35"/>
      <x:c r="E1" s="35"/>
      <x:c r="F1" s="35"/>
      <x:c r="G1" s="35"/>
    </x:row>
    <x:row r="2">
      <x:c r="A2" s="35"/>
      <x:c r="B2" s="35"/>
      <x:c r="C2" s="35"/>
      <x:c r="D2" s="35"/>
      <x:c r="E2" s="35"/>
      <x:c r="F2" s="35"/>
      <x:c r="G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CW-UT-AUTH-DATA</x:v>
      </x:c>
      <x:c r="F3" s="30"/>
      <x:c r="G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</x:row>
    <x:row r="5">
      <x:c r="A5" s="31"/>
      <x:c r="B5" s="31"/>
      <x:c r="C5" s="31"/>
      <x:c r="D5" s="31"/>
      <x:c r="E5" s="31"/>
      <x:c r="F5" s="31"/>
      <x:c r="G5" s="31"/>
    </x:row>
    <x:row r="6">
      <x:c r="A6" s="32" t="str">
        <x:v>1. Test Data</x:v>
      </x:c>
      <x:c r="B6" s="32"/>
      <x:c r="C6" s="32"/>
      <x:c r="D6" s="32"/>
      <x:c r="E6" s="32"/>
      <x:c r="F6" s="32"/>
      <x:c r="G6" s="32"/>
    </x:row>
    <x:row r="7">
      <x:c r="A7" s="33" t="str">
        <x:v>Data ID</x:v>
      </x:c>
      <x:c r="B7" s="33" t="str">
        <x:v>Data名</x:v>
      </x:c>
      <x:c r="C7" s="33" t="str">
        <x:v>Key</x:v>
      </x:c>
      <x:c r="D7" s="33" t="str">
        <x:v>DB/Mock状態</x:v>
      </x:c>
      <x:c r="E7" s="33" t="str">
        <x:v>Role</x:v>
      </x:c>
      <x:c r="F7" s="33" t="str">
        <x:v>Password等</x:v>
      </x:c>
      <x:c r="G7" s="33" t="str">
        <x:v>用途</x:v>
      </x:c>
    </x:row>
    <x:row r="8" ht="30" customHeight="1">
      <x:c r="A8" s="34" t="str">
        <x:v>TD-AUTH-001</x:v>
      </x:c>
      <x:c r="B8" s="34" t="str">
        <x:v>有効一般User</x:v>
      </x:c>
      <x:c r="C8" s="34" t="str">
        <x:v>user01</x:v>
      </x:c>
      <x:c r="D8" s="34" t="str">
        <x:v>enabled=true/failed=0/lock=null</x:v>
      </x:c>
      <x:c r="E8" s="34" t="str">
        <x:v>ROLE-EMP</x:v>
      </x:c>
      <x:c r="F8" s="34" t="str">
        <x:v>Dummy#123</x:v>
      </x:c>
      <x:c r="G8" s="34" t="str">
        <x:v>正常Login</x:v>
      </x:c>
    </x:row>
    <x:row r="9" ht="30" customHeight="1">
      <x:c r="A9" s="34" t="str">
        <x:v>TD-AUTH-002</x:v>
      </x:c>
      <x:c r="B9" s="34" t="str">
        <x:v>有効管理者</x:v>
      </x:c>
      <x:c r="C9" s="34" t="str">
        <x:v>admin01</x:v>
      </x:c>
      <x:c r="D9" s="34" t="str">
        <x:v>enabled=true/複数Role・Permission</x:v>
      </x:c>
      <x:c r="E9" s="34" t="str">
        <x:v>ROLE-ADMIN</x:v>
      </x:c>
      <x:c r="F9" s="34" t="str">
        <x:v>Dummy#123</x:v>
      </x:c>
      <x:c r="G9" s="34" t="str">
        <x:v>Role/Permission</x:v>
      </x:c>
    </x:row>
    <x:row r="10" ht="30" customHeight="1">
      <x:c r="A10" s="34" t="str">
        <x:v>TD-AUTH-003</x:v>
      </x:c>
      <x:c r="B10" s="34" t="str">
        <x:v>停止User</x:v>
      </x:c>
      <x:c r="C10" s="34" t="str">
        <x:v>disabled01</x:v>
      </x:c>
      <x:c r="D10" s="34" t="str">
        <x:v>enabled=false</x:v>
      </x:c>
      <x:c r="E10" s="34" t="str">
        <x:v>ROLE-EMP</x:v>
      </x:c>
      <x:c r="F10" s="34" t="str">
        <x:v>Dummy#123</x:v>
      </x:c>
      <x:c r="G10" s="34" t="str">
        <x:v>停止Error</x:v>
      </x:c>
    </x:row>
    <x:row r="11" ht="30" customHeight="1">
      <x:c r="A11" s="34" t="str">
        <x:v>TD-AUTH-004</x:v>
      </x:c>
      <x:c r="B11" s="34" t="str">
        <x:v>Lock中User</x:v>
      </x:c>
      <x:c r="C11" s="34" t="str">
        <x:v>locked01</x:v>
      </x:c>
      <x:c r="D11" s="34" t="str">
        <x:v>lockedUntil=now+30m</x:v>
      </x:c>
      <x:c r="E11" s="34" t="str">
        <x:v>ROLE-EMP</x:v>
      </x:c>
      <x:c r="F11" s="34" t="str">
        <x:v>Dummy#123</x:v>
      </x:c>
      <x:c r="G11" s="34" t="str">
        <x:v>423 Lock</x:v>
      </x:c>
    </x:row>
    <x:row r="12" ht="30" customHeight="1">
      <x:c r="A12" s="34" t="str">
        <x:v>TD-AUTH-005</x:v>
      </x:c>
      <x:c r="B12" s="34" t="str">
        <x:v>RoleなしUser</x:v>
      </x:c>
      <x:c r="C12" s="34" t="str">
        <x:v>norole01</x:v>
      </x:c>
      <x:c r="D12" s="34" t="str">
        <x:v>enabled=true/roles=[]</x:v>
      </x:c>
      <x:c r="E12" s="34" t="str">
        <x:v>-</x:v>
      </x:c>
      <x:c r="F12" s="34" t="str">
        <x:v>Dummy#123</x:v>
      </x:c>
      <x:c r="G12" s="34" t="str">
        <x:v>403 AUTH-4006</x:v>
      </x:c>
    </x:row>
    <x:row r="13">
      <x:c r="A13" s="31" t="str">
        <x:v>TD-AUTH-006</x:v>
      </x:c>
      <x:c r="B13" s="31" t="str">
        <x:v>不存在User</x:v>
      </x:c>
      <x:c r="C13" s="31" t="str">
        <x:v>missing01</x:v>
      </x:c>
      <x:c r="D13" s="31" t="str">
        <x:v>Repository=0件</x:v>
      </x:c>
      <x:c r="E13" s="31" t="str">
        <x:v>-</x:v>
      </x:c>
      <x:c r="F13" s="31" t="str">
        <x:v>Dummy#123</x:v>
      </x:c>
      <x:c r="G13" s="31" t="str">
        <x:v>統一認証失敗</x:v>
      </x:c>
    </x:row>
    <x:row r="14">
      <x:c r="A14" s="55" t="str">
        <x:v>TD-AUTH-007</x:v>
      </x:c>
      <x:c r="B14" s="56" t="str">
        <x:v>論理削除User</x:v>
      </x:c>
      <x:c r="C14" s="56" t="str">
        <x:v>deleted01</x:v>
      </x:c>
      <x:c r="D14" s="56" t="str">
        <x:v>deleted=true</x:v>
      </x:c>
      <x:c r="E14" s="56" t="str">
        <x:v>ROLE-EMP</x:v>
      </x:c>
      <x:c r="F14" s="56" t="str">
        <x:v>Dummy#123</x:v>
      </x:c>
      <x:c r="G14" s="57" t="str">
        <x:v>検索対象外</x:v>
      </x:c>
    </x:row>
    <x:row r="15">
      <x:c r="A15" s="58" t="str">
        <x:v>TD-AUTH-008</x:v>
      </x:c>
      <x:c r="B15" s="59" t="str">
        <x:v>Lock期限切れ</x:v>
      </x:c>
      <x:c r="C15" s="59" t="str">
        <x:v>expiredlock01</x:v>
      </x:c>
      <x:c r="D15" s="59" t="str">
        <x:v>lockedUntil=now-1s/Redis Counter残存</x:v>
      </x:c>
      <x:c r="E15" s="59" t="str">
        <x:v>ROLE-EMP</x:v>
      </x:c>
      <x:c r="F15" s="59" t="str">
        <x:v>Dummy#123</x:v>
      </x:c>
      <x:c r="G15" s="60" t="str">
        <x:v>Lock解除境界</x:v>
      </x:c>
    </x:row>
    <x:row r="16">
      <x:c r="A16" t="str">
        <x:v>TD-AUTH-009</x:v>
      </x:c>
      <x:c r="B16" t="str">
        <x:v>失敗回数境界</x:v>
      </x:c>
      <x:c r="C16" t="str">
        <x:v>fail01</x:v>
      </x:c>
      <x:c r="D16" t="str">
        <x:v>Redis Counter=0/3/4</x:v>
      </x:c>
      <x:c r="E16" t="str">
        <x:v>ROLE-EMP</x:v>
      </x:c>
      <x:c r="F16" t="str">
        <x:v>Dummy#123</x:v>
      </x:c>
      <x:c r="G16" t="str">
        <x:v>失敗回数・同時実行</x:v>
      </x:c>
    </x:row>
    <x:row r="17">
      <x:c r="A17" t="str">
        <x:v>TD-AUTH-010</x:v>
      </x:c>
      <x:c r="B17" t="str">
        <x:v>Refresh DB障害</x:v>
      </x:c>
      <x:c r="C17" t="str">
        <x:v>user01</x:v>
      </x:c>
      <x:c r="D17" t="str">
        <x:v>refresh_tokens INSERT例外</x:v>
      </x:c>
      <x:c r="E17" t="str">
        <x:v>ROLE-EMP</x:v>
      </x:c>
      <x:c r="F17" t="str">
        <x:v>Dummy#123</x:v>
      </x:c>
      <x:c r="G17" t="str">
        <x:v>Rollback</x:v>
      </x:c>
    </x:row>
    <x:row r="18">
      <x:c r="A18" t="str">
        <x:v>TD-AUTH-011</x:v>
      </x:c>
      <x:c r="B18" t="str">
        <x:v>Redis障害</x:v>
      </x:c>
      <x:c r="C18" t="str">
        <x:v>user01</x:v>
      </x:c>
      <x:c r="D18" t="str">
        <x:v>Redis接続例外</x:v>
      </x:c>
      <x:c r="E18" t="str">
        <x:v>ROLE-EMP</x:v>
      </x:c>
      <x:c r="F18" t="str">
        <x:v>Dummy#123</x:v>
      </x:c>
      <x:c r="G18" t="str">
        <x:v>500/Fallback禁止</x:v>
      </x:c>
    </x:row>
    <x:row r="19">
      <x:c r="A19" t="str">
        <x:v>TD-AUTH-012</x:v>
      </x:c>
      <x:c r="B19" t="str">
        <x:v>Rate Limit境界</x:v>
      </x:c>
      <x:c r="C19" t="str">
        <x:v>user01</x:v>
      </x:c>
      <x:c r="D19" t="str">
        <x:v>IP/User Counter=9/10</x:v>
      </x:c>
      <x:c r="E19" t="str">
        <x:v>ROLE-EMP</x:v>
      </x:c>
      <x:c r="F19" t="str">
        <x:v>Dummy#123</x:v>
      </x:c>
      <x:c r="G19" t="str">
        <x:v>10回/分境界</x:v>
      </x:c>
    </x:row>
  </x:sheetData>
  <x:mergeCells>
    <x:mergeCell ref="A1:G2"/>
    <x:mergeCell ref="A6:G6"/>
    <x:mergeCell ref="A14:G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52" hidden="0" customWidth="1"/>
    <x:col min="5" max="5" width="14" hidden="0" customWidth="1"/>
    <x:col min="6" max="6" width="18" hidden="0" customWidth="1"/>
    <x:col min="7" max="7" width="14" hidden="0" customWidth="1"/>
    <x:col min="8" max="8" width="36" hidden="0" customWidth="1"/>
  </x:cols>
  <x:sheetData>
    <x:row r="1">
      <x:c r="A1" s="35" t="str">
        <x:v>単体Test証跡管理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29" t="str">
        <x:v>システム名</x:v>
      </x:c>
      <x:c r="B3" s="30" t="str">
        <x:v>Company WorkHub</x:v>
      </x:c>
      <x:c r="C3" s="30"/>
      <x:c r="D3" s="29" t="str">
        <x:v>文書番号</x:v>
      </x:c>
      <x:c r="E3" s="30" t="str">
        <x:v>CW-UT-AUTH-EVIDENCE</x:v>
      </x:c>
      <x:c r="F3" s="30"/>
      <x:c r="G3" s="30"/>
      <x:c r="H3" s="30"/>
    </x:row>
    <x:row r="4">
      <x:c r="A4" s="29" t="str">
        <x:v>版数</x:v>
      </x:c>
      <x:c r="B4" s="30" t="str">
        <x:v>Ver.1.3</x:v>
      </x:c>
      <x:c r="C4" s="30"/>
      <x:c r="D4" s="29" t="str">
        <x:v>改訂日</x:v>
      </x:c>
      <x:c r="E4" s="30" t="str">
        <x:v>2026-08-10</x:v>
      </x:c>
      <x:c r="F4" s="30"/>
      <x:c r="G4" s="30"/>
      <x:c r="H4" s="30"/>
    </x:row>
    <x:row r="5">
      <x:c r="A5" s="31"/>
      <x:c r="B5" s="31"/>
      <x:c r="C5" s="31"/>
      <x:c r="D5" s="31"/>
      <x:c r="E5" s="31"/>
      <x:c r="F5" s="31"/>
      <x:c r="G5" s="31"/>
      <x:c r="H5" s="31"/>
    </x:row>
    <x:row r="6">
      <x:c r="A6" s="32" t="str">
        <x:v>1. Evidence</x:v>
      </x:c>
      <x:c r="B6" s="32"/>
      <x:c r="C6" s="32"/>
      <x:c r="D6" s="32"/>
      <x:c r="E6" s="32"/>
      <x:c r="F6" s="32"/>
      <x:c r="G6" s="32"/>
      <x:c r="H6" s="32"/>
    </x:row>
    <x:row r="7">
      <x:c r="A7" s="33" t="str">
        <x:v>Test ID</x:v>
      </x:c>
      <x:c r="B7" s="33" t="str">
        <x:v>対象ID</x:v>
      </x:c>
      <x:c r="C7" s="33" t="str">
        <x:v>観点</x:v>
      </x:c>
      <x:c r="D7" s="33" t="str">
        <x:v>証跡File</x:v>
      </x:c>
      <x:c r="E7" s="33" t="str">
        <x:v>取得状態</x:v>
      </x:c>
      <x:c r="F7" s="33" t="str">
        <x:v>確認者</x:v>
      </x:c>
      <x:c r="G7" s="33" t="str">
        <x:v>確認日</x:v>
      </x:c>
      <x:c r="H7" s="33" t="str">
        <x:v>障害ID</x:v>
      </x:c>
      <x:c r="I7" t="str">
        <x:v>備考</x:v>
      </x:c>
    </x:row>
    <x:row r="8" ht="30" customHeight="1">
      <x:c r="A8" s="34" t="str">
        <x:f>IF('04_テストケース'!A8="","",'04_テストケース'!A8)</x:f>
        <x:v>UT-AUTH-001-001</x:v>
      </x:c>
      <x:c r="B8" s="34" t="str">
        <x:f>IF('04_テストケース'!C8="","",'04_テストケース'!C8)</x:f>
        <x:v>API-AUTH-001</x:v>
      </x:c>
      <x:c r="C8" s="34" t="str">
        <x:f>IF('04_テストケース'!H8="","",'04_テストケース'!H8)</x:f>
        <x:v>正常</x:v>
      </x:c>
      <x:c r="D8" s="34" t="str">
        <x:f>IF('04_テストケース'!P8="","",'04_テストケース'!P8)</x:f>
        <x:v>evidence/UT-AUTH-001-001.png</x:v>
      </x:c>
      <x:c r="E8" s="34"/>
      <x:c r="F8" s="34"/>
      <x:c r="G8" s="34"/>
      <x:c r="H8" s="34" t="str">
        <x:f>IF('04_テストケース'!Q8="","",'04_テストケース'!Q8)</x:f>
      </x:c>
    </x:row>
    <x:row r="9" ht="30" customHeight="1">
      <x:c r="A9" s="34" t="str">
        <x:f>IF('04_テストケース'!A9="","",'04_テストケース'!A9)</x:f>
        <x:v>UT-AUTH-001-002</x:v>
      </x:c>
      <x:c r="B9" s="34" t="str">
        <x:f>IF('04_テストケース'!C9="","",'04_テストケース'!C9)</x:f>
        <x:v>API-AUTH-001</x:v>
      </x:c>
      <x:c r="C9" s="34" t="str">
        <x:f>IF('04_テストケース'!H9="","",'04_テストケース'!H9)</x:f>
        <x:v>入力異常</x:v>
      </x:c>
      <x:c r="D9" s="34" t="str">
        <x:f>IF('04_テストケース'!P9="","",'04_テストケース'!P9)</x:f>
        <x:v>evidence/UT-AUTH-001-002.png</x:v>
      </x:c>
      <x:c r="E9" s="34"/>
      <x:c r="F9" s="34"/>
      <x:c r="G9" s="34"/>
      <x:c r="H9" s="34" t="str">
        <x:f>IF('04_テストケース'!Q9="","",'04_テストケース'!Q9)</x:f>
      </x:c>
    </x:row>
    <x:row r="10" ht="30" customHeight="1">
      <x:c r="A10" s="34" t="str">
        <x:f>IF('04_テストケース'!A10="","",'04_テストケース'!A10)</x:f>
        <x:v>UT-AUTH-001-003</x:v>
      </x:c>
      <x:c r="B10" s="34" t="str">
        <x:f>IF('04_テストケース'!C10="","",'04_テストケース'!C10)</x:f>
        <x:v>API-AUTH-001</x:v>
      </x:c>
      <x:c r="C10" s="34" t="str">
        <x:f>IF('04_テストケース'!H10="","",'04_テストケース'!H10)</x:f>
        <x:v>境界</x:v>
      </x:c>
      <x:c r="D10" s="34" t="str">
        <x:f>IF('04_テストケース'!P10="","",'04_テストケース'!P10)</x:f>
        <x:v>evidence/UT-AUTH-001-003.png</x:v>
      </x:c>
      <x:c r="E10" s="34"/>
      <x:c r="F10" s="34"/>
      <x:c r="G10" s="34"/>
      <x:c r="H10" s="34" t="str">
        <x:f>IF('04_テストケース'!Q10="","",'04_テストケース'!Q10)</x:f>
      </x:c>
    </x:row>
    <x:row r="11" ht="30" customHeight="1">
      <x:c r="A11" s="34" t="str">
        <x:f>IF('04_テストケース'!A11="","",'04_テストケース'!A11)</x:f>
        <x:v>UT-AUTH-001-004</x:v>
      </x:c>
      <x:c r="B11" s="34" t="str">
        <x:f>IF('04_テストケース'!C11="","",'04_テストケース'!C11)</x:f>
        <x:v>API-AUTH-001</x:v>
      </x:c>
      <x:c r="C11" s="34" t="str">
        <x:f>IF('04_テストケース'!H11="","",'04_テストケース'!H11)</x:f>
        <x:v>境界</x:v>
      </x:c>
      <x:c r="D11" s="34" t="str">
        <x:f>IF('04_テストケース'!P11="","",'04_テストケース'!P11)</x:f>
        <x:v>evidence/UT-AUTH-001-004.png</x:v>
      </x:c>
      <x:c r="E11" s="34"/>
      <x:c r="F11" s="34"/>
      <x:c r="G11" s="34"/>
      <x:c r="H11" s="34" t="str">
        <x:f>IF('04_テストケース'!Q11="","",'04_テストケース'!Q11)</x:f>
      </x:c>
    </x:row>
    <x:row r="12" ht="30" customHeight="1">
      <x:c r="A12" s="34" t="str">
        <x:f>IF('04_テストケース'!A12="","",'04_テストケース'!A12)</x:f>
        <x:v>UT-AUTH-001-005</x:v>
      </x:c>
      <x:c r="B12" s="34" t="str">
        <x:f>IF('04_テストケース'!C12="","",'04_テストケース'!C12)</x:f>
        <x:v>API-AUTH-001</x:v>
      </x:c>
      <x:c r="C12" s="34" t="str">
        <x:f>IF('04_テストケース'!H12="","",'04_テストケース'!H12)</x:f>
        <x:v>境界</x:v>
      </x:c>
      <x:c r="D12" s="34" t="str">
        <x:f>IF('04_テストケース'!P12="","",'04_テストケース'!P12)</x:f>
        <x:v>evidence/UT-AUTH-001-005.png</x:v>
      </x:c>
      <x:c r="E12" s="34"/>
      <x:c r="F12" s="34"/>
      <x:c r="G12" s="34"/>
      <x:c r="H12" s="34" t="str">
        <x:f>IF('04_テストケース'!Q12="","",'04_テストケース'!Q12)</x:f>
      </x:c>
    </x:row>
    <x:row r="13" ht="30" customHeight="1">
      <x:c r="A13" s="34" t="str">
        <x:f>IF('04_テストケース'!A13="","",'04_テストケース'!A13)</x:f>
        <x:v>UT-AUTH-001-006</x:v>
      </x:c>
      <x:c r="B13" s="34" t="str">
        <x:f>IF('04_テストケース'!C13="","",'04_テストケース'!C13)</x:f>
        <x:v>API-AUTH-001</x:v>
      </x:c>
      <x:c r="C13" s="34" t="str">
        <x:f>IF('04_テストケース'!H13="","",'04_テストケース'!H13)</x:f>
        <x:v>境界</x:v>
      </x:c>
      <x:c r="D13" s="34" t="str">
        <x:f>IF('04_テストケース'!P13="","",'04_テストケース'!P13)</x:f>
        <x:v>evidence/UT-AUTH-001-006.png</x:v>
      </x:c>
      <x:c r="E13" s="34"/>
      <x:c r="F13" s="34"/>
      <x:c r="G13" s="34"/>
      <x:c r="H13" s="34" t="str">
        <x:f>IF('04_テストケース'!Q13="","",'04_テストケース'!Q13)</x:f>
      </x:c>
    </x:row>
    <x:row r="14" ht="30" customHeight="1">
      <x:c r="A14" s="34" t="str">
        <x:f>IF('04_テストケース'!A14="","",'04_テストケース'!A14)</x:f>
        <x:v>UT-AUTH-001-007</x:v>
      </x:c>
      <x:c r="B14" s="34" t="str">
        <x:f>IF('04_テストケース'!C14="","",'04_テストケース'!C14)</x:f>
        <x:v>API-AUTH-001</x:v>
      </x:c>
      <x:c r="C14" s="34" t="str">
        <x:f>IF('04_テストケース'!H14="","",'04_テストケース'!H14)</x:f>
        <x:v>境界</x:v>
      </x:c>
      <x:c r="D14" s="34" t="str">
        <x:f>IF('04_テストケース'!P14="","",'04_テストケース'!P14)</x:f>
        <x:v>evidence/UT-AUTH-001-007.png</x:v>
      </x:c>
      <x:c r="E14" s="34"/>
      <x:c r="F14" s="34"/>
      <x:c r="G14" s="34"/>
      <x:c r="H14" s="34" t="str">
        <x:f>IF('04_テストケース'!Q14="","",'04_テストケース'!Q14)</x:f>
      </x:c>
    </x:row>
    <x:row r="15" ht="30" customHeight="1">
      <x:c r="A15" s="34" t="str">
        <x:f>IF('04_テストケース'!A15="","",'04_テストケース'!A15)</x:f>
        <x:v>UT-AUTH-001-008</x:v>
      </x:c>
      <x:c r="B15" s="34" t="str">
        <x:f>IF('04_テストケース'!C15="","",'04_テストケース'!C15)</x:f>
        <x:v>API-AUTH-001</x:v>
      </x:c>
      <x:c r="C15" s="34" t="str">
        <x:f>IF('04_テストケース'!H15="","",'04_テストケース'!H15)</x:f>
        <x:v>入力異常</x:v>
      </x:c>
      <x:c r="D15" s="34" t="str">
        <x:f>IF('04_テストケース'!P15="","",'04_テストケース'!P15)</x:f>
        <x:v>evidence/UT-AUTH-001-008.png</x:v>
      </x:c>
      <x:c r="E15" s="34"/>
      <x:c r="F15" s="34"/>
      <x:c r="G15" s="34"/>
      <x:c r="H15" s="34" t="str">
        <x:f>IF('04_テストケース'!Q15="","",'04_テストケース'!Q15)</x:f>
      </x:c>
    </x:row>
    <x:row r="16" ht="30" customHeight="1">
      <x:c r="A16" s="34" t="str">
        <x:f>IF('04_テストケース'!A16="","",'04_テストケース'!A16)</x:f>
        <x:v>UT-AUTH-001-009</x:v>
      </x:c>
      <x:c r="B16" s="34" t="str">
        <x:f>IF('04_テストケース'!C16="","",'04_テストケース'!C16)</x:f>
        <x:v>API-AUTH-001</x:v>
      </x:c>
      <x:c r="C16" s="34" t="str">
        <x:f>IF('04_テストケース'!H16="","",'04_テストケース'!H16)</x:f>
        <x:v>境界</x:v>
      </x:c>
      <x:c r="D16" s="34" t="str">
        <x:f>IF('04_テストケース'!P16="","",'04_テストケース'!P16)</x:f>
        <x:v>evidence/UT-AUTH-001-009.png</x:v>
      </x:c>
      <x:c r="E16" s="34"/>
      <x:c r="F16" s="34"/>
      <x:c r="G16" s="34"/>
      <x:c r="H16" s="34" t="str">
        <x:f>IF('04_テストケース'!Q16="","",'04_テストケース'!Q16)</x:f>
      </x:c>
    </x:row>
    <x:row r="17" ht="30" customHeight="1">
      <x:c r="A17" s="34" t="str">
        <x:f>IF('04_テストケース'!A17="","",'04_テストケース'!A17)</x:f>
        <x:v>UT-AUTH-001-010</x:v>
      </x:c>
      <x:c r="B17" s="34" t="str">
        <x:f>IF('04_テストケース'!C17="","",'04_テストケース'!C17)</x:f>
        <x:v>API-AUTH-001</x:v>
      </x:c>
      <x:c r="C17" s="34" t="str">
        <x:f>IF('04_テストケース'!H17="","",'04_テストケース'!H17)</x:f>
        <x:v>境界</x:v>
      </x:c>
      <x:c r="D17" s="34" t="str">
        <x:f>IF('04_テストケース'!P17="","",'04_テストケース'!P17)</x:f>
        <x:v>evidence/UT-AUTH-001-010.png</x:v>
      </x:c>
      <x:c r="E17" s="34"/>
      <x:c r="F17" s="34"/>
      <x:c r="G17" s="34"/>
      <x:c r="H17" s="34" t="str">
        <x:f>IF('04_テストケース'!Q17="","",'04_テストケース'!Q17)</x:f>
      </x:c>
    </x:row>
    <x:row r="18" ht="30" customHeight="1">
      <x:c r="A18" s="34" t="str">
        <x:f>IF('04_テストケース'!A18="","",'04_テストケース'!A18)</x:f>
        <x:v>UT-AUTH-001-011</x:v>
      </x:c>
      <x:c r="B18" s="34" t="str">
        <x:f>IF('04_テストケース'!C18="","",'04_テストケース'!C18)</x:f>
        <x:v>API-AUTH-001</x:v>
      </x:c>
      <x:c r="C18" s="34" t="str">
        <x:f>IF('04_テストケース'!H18="","",'04_テストケース'!H18)</x:f>
        <x:v>境界</x:v>
      </x:c>
      <x:c r="D18" s="34" t="str">
        <x:f>IF('04_テストケース'!P18="","",'04_テストケース'!P18)</x:f>
        <x:v>evidence/UT-AUTH-001-011.png</x:v>
      </x:c>
      <x:c r="E18" s="34"/>
      <x:c r="F18" s="34"/>
      <x:c r="G18" s="34"/>
      <x:c r="H18" s="34" t="str">
        <x:f>IF('04_テストケース'!Q18="","",'04_テストケース'!Q18)</x:f>
      </x:c>
    </x:row>
    <x:row r="19" ht="30" customHeight="1">
      <x:c r="A19" s="34" t="str">
        <x:f>IF('04_テストケース'!A19="","",'04_テストケース'!A19)</x:f>
        <x:v>UT-AUTH-001-012</x:v>
      </x:c>
      <x:c r="B19" s="34" t="str">
        <x:f>IF('04_テストケース'!C19="","",'04_テストケース'!C19)</x:f>
        <x:v>API-AUTH-001</x:v>
      </x:c>
      <x:c r="C19" s="34" t="str">
        <x:f>IF('04_テストケース'!H19="","",'04_テストケース'!H19)</x:f>
        <x:v>正常</x:v>
      </x:c>
      <x:c r="D19" s="34" t="str">
        <x:f>IF('04_テストケース'!P19="","",'04_テストケース'!P19)</x:f>
        <x:v>evidence/UT-AUTH-001-012.png</x:v>
      </x:c>
      <x:c r="E19" s="34"/>
      <x:c r="F19" s="34"/>
      <x:c r="G19" s="34"/>
      <x:c r="H19" s="34" t="str">
        <x:f>IF('04_テストケース'!Q19="","",'04_テストケース'!Q19)</x:f>
      </x:c>
    </x:row>
    <x:row r="20" ht="30" customHeight="1">
      <x:c r="A20" s="34" t="str">
        <x:f>IF('04_テストケース'!A20="","",'04_テストケース'!A20)</x:f>
        <x:v>UT-AUTH-001-013</x:v>
      </x:c>
      <x:c r="B20" s="34" t="str">
        <x:f>IF('04_テストケース'!C20="","",'04_テストケース'!C20)</x:f>
        <x:v>API-AUTH-001</x:v>
      </x:c>
      <x:c r="C20" s="34" t="str">
        <x:f>IF('04_テストケース'!H20="","",'04_テストケース'!H20)</x:f>
        <x:v>業務異常</x:v>
      </x:c>
      <x:c r="D20" s="34" t="str">
        <x:f>IF('04_テストケース'!P20="","",'04_テストケース'!P20)</x:f>
        <x:v>evidence/UT-AUTH-001-013.png</x:v>
      </x:c>
      <x:c r="E20" s="34"/>
      <x:c r="F20" s="34"/>
      <x:c r="G20" s="34"/>
      <x:c r="H20" s="34" t="str">
        <x:f>IF('04_テストケース'!Q20="","",'04_テストケース'!Q20)</x:f>
      </x:c>
    </x:row>
    <x:row r="21" ht="30" customHeight="1">
      <x:c r="A21" s="34" t="str">
        <x:f>IF('04_テストケース'!A21="","",'04_テストケース'!A21)</x:f>
        <x:v>UT-AUTH-001-014</x:v>
      </x:c>
      <x:c r="B21" s="34" t="str">
        <x:f>IF('04_テストケース'!C21="","",'04_テストケース'!C21)</x:f>
        <x:v>API-AUTH-001</x:v>
      </x:c>
      <x:c r="C21" s="34" t="str">
        <x:f>IF('04_テストケース'!H21="","",'04_テストケース'!H21)</x:f>
        <x:v>業務異常</x:v>
      </x:c>
      <x:c r="D21" s="34" t="str">
        <x:f>IF('04_テストケース'!P21="","",'04_テストケース'!P21)</x:f>
        <x:v>evidence/UT-AUTH-001-014.png</x:v>
      </x:c>
      <x:c r="E21" s="34"/>
      <x:c r="F21" s="34"/>
      <x:c r="G21" s="34"/>
      <x:c r="H21" s="34" t="str">
        <x:f>IF('04_テストケース'!Q21="","",'04_テストケース'!Q21)</x:f>
      </x:c>
    </x:row>
    <x:row r="22" ht="30" customHeight="1">
      <x:c r="A22" s="34" t="str">
        <x:f>IF('04_テストケース'!A22="","",'04_テストケース'!A22)</x:f>
        <x:v>UT-AUTH-001-015</x:v>
      </x:c>
      <x:c r="B22" s="34" t="str">
        <x:f>IF('04_テストケース'!C22="","",'04_テストケース'!C22)</x:f>
        <x:v>API-AUTH-001</x:v>
      </x:c>
      <x:c r="C22" s="34" t="str">
        <x:f>IF('04_テストケース'!H22="","",'04_テストケース'!H22)</x:f>
        <x:v>業務異常</x:v>
      </x:c>
      <x:c r="D22" s="34" t="str">
        <x:f>IF('04_テストケース'!P22="","",'04_テストケース'!P22)</x:f>
        <x:v>evidence/UT-AUTH-001-015.png</x:v>
      </x:c>
      <x:c r="E22" s="34"/>
      <x:c r="F22" s="34"/>
      <x:c r="G22" s="34"/>
      <x:c r="H22" s="34" t="str">
        <x:f>IF('04_テストケース'!Q22="","",'04_テストケース'!Q22)</x:f>
      </x:c>
    </x:row>
    <x:row r="23" ht="30" customHeight="1">
      <x:c r="A23" s="34" t="str">
        <x:f>IF('04_テストケース'!A23="","",'04_テストケース'!A23)</x:f>
        <x:v>UT-AUTH-001-016</x:v>
      </x:c>
      <x:c r="B23" s="34" t="str">
        <x:f>IF('04_テストケース'!C23="","",'04_テストケース'!C23)</x:f>
        <x:v>API-AUTH-001</x:v>
      </x:c>
      <x:c r="C23" s="34" t="str">
        <x:f>IF('04_テストケース'!H23="","",'04_テストケース'!H23)</x:f>
        <x:v>業務異常</x:v>
      </x:c>
      <x:c r="D23" s="34" t="str">
        <x:f>IF('04_テストケース'!P23="","",'04_テストケース'!P23)</x:f>
        <x:v>evidence/UT-AUTH-001-016.png</x:v>
      </x:c>
      <x:c r="E23" s="34"/>
      <x:c r="F23" s="34"/>
      <x:c r="G23" s="34"/>
      <x:c r="H23" s="34" t="str">
        <x:f>IF('04_テストケース'!Q23="","",'04_テストケース'!Q23)</x:f>
      </x:c>
    </x:row>
    <x:row r="24" ht="30" customHeight="1">
      <x:c r="A24" s="34" t="str">
        <x:f>IF('04_テストケース'!A24="","",'04_テストケース'!A24)</x:f>
        <x:v>UT-AUTH-001-017</x:v>
      </x:c>
      <x:c r="B24" s="34" t="str">
        <x:f>IF('04_テストケース'!C24="","",'04_テストケース'!C24)</x:f>
        <x:v>API-AUTH-001</x:v>
      </x:c>
      <x:c r="C24" s="34" t="str">
        <x:f>IF('04_テストケース'!H24="","",'04_テストケース'!H24)</x:f>
        <x:v>業務異常</x:v>
      </x:c>
      <x:c r="D24" s="34" t="str">
        <x:f>IF('04_テストケース'!P24="","",'04_テストケース'!P24)</x:f>
        <x:v>evidence/UT-AUTH-001-017.png</x:v>
      </x:c>
      <x:c r="E24" s="34"/>
      <x:c r="F24" s="34"/>
      <x:c r="G24" s="34"/>
      <x:c r="H24" s="34" t="str">
        <x:f>IF('04_テストケース'!Q24="","",'04_テストケース'!Q24)</x:f>
      </x:c>
    </x:row>
    <x:row r="25" ht="30" customHeight="1">
      <x:c r="A25" s="34" t="str">
        <x:f>IF('04_テストケース'!A25="","",'04_テストケース'!A25)</x:f>
        <x:v>UT-AUTH-001-018</x:v>
      </x:c>
      <x:c r="B25" s="34" t="str">
        <x:f>IF('04_テストケース'!C25="","",'04_テストケース'!C25)</x:f>
        <x:v>API-AUTH-001</x:v>
      </x:c>
      <x:c r="C25" s="34" t="str">
        <x:f>IF('04_テストケース'!H25="","",'04_テストケース'!H25)</x:f>
        <x:v>境界</x:v>
      </x:c>
      <x:c r="D25" s="34" t="str">
        <x:f>IF('04_テストケース'!P25="","",'04_テストケース'!P25)</x:f>
        <x:v>evidence/UT-AUTH-001-018.png</x:v>
      </x:c>
      <x:c r="E25" s="34"/>
      <x:c r="F25" s="34"/>
      <x:c r="G25" s="34"/>
      <x:c r="H25" s="34" t="str">
        <x:f>IF('04_テストケース'!Q25="","",'04_テストケース'!Q25)</x:f>
      </x:c>
    </x:row>
    <x:row r="26" ht="30" customHeight="1">
      <x:c r="A26" s="34" t="str">
        <x:f>IF('04_テストケース'!A26="","",'04_テストケース'!A26)</x:f>
        <x:v>UT-AUTH-001-019</x:v>
      </x:c>
      <x:c r="B26" s="34" t="str">
        <x:f>IF('04_テストケース'!C26="","",'04_テストケース'!C26)</x:f>
        <x:v>API-AUTH-001</x:v>
      </x:c>
      <x:c r="C26" s="34" t="str">
        <x:f>IF('04_テストケース'!H26="","",'04_テストケース'!H26)</x:f>
        <x:v>業務異常</x:v>
      </x:c>
      <x:c r="D26" s="34" t="str">
        <x:f>IF('04_テストケース'!P26="","",'04_テストケース'!P26)</x:f>
        <x:v>evidence/UT-AUTH-001-019.png</x:v>
      </x:c>
      <x:c r="E26" s="34"/>
      <x:c r="F26" s="34"/>
      <x:c r="G26" s="34"/>
      <x:c r="H26" s="34" t="str">
        <x:f>IF('04_テストケース'!Q26="","",'04_テストケース'!Q26)</x:f>
      </x:c>
    </x:row>
    <x:row r="27" ht="30" customHeight="1">
      <x:c r="A27" s="34" t="str">
        <x:f>IF('04_テストケース'!A27="","",'04_テストケース'!A27)</x:f>
        <x:v>UT-AUTH-001-020</x:v>
      </x:c>
      <x:c r="B27" s="34" t="str">
        <x:f>IF('04_テストケース'!C27="","",'04_テストケース'!C27)</x:f>
        <x:v>API-AUTH-001</x:v>
      </x:c>
      <x:c r="C27" s="34" t="str">
        <x:f>IF('04_テストケース'!H27="","",'04_テストケース'!H27)</x:f>
        <x:v>境界</x:v>
      </x:c>
      <x:c r="D27" s="34" t="str">
        <x:f>IF('04_テストケース'!P27="","",'04_テストケース'!P27)</x:f>
        <x:v>evidence/UT-AUTH-001-020.png</x:v>
      </x:c>
      <x:c r="E27" s="34"/>
      <x:c r="F27" s="34"/>
      <x:c r="G27" s="34"/>
      <x:c r="H27" s="34" t="str">
        <x:f>IF('04_テストケース'!Q27="","",'04_テストケース'!Q27)</x:f>
      </x:c>
    </x:row>
    <x:row r="28" ht="30" customHeight="1">
      <x:c r="A28" s="34" t="str">
        <x:f>IF('04_テストケース'!A28="","",'04_テストケース'!A28)</x:f>
        <x:v>UT-AUTH-001-021</x:v>
      </x:c>
      <x:c r="B28" s="34" t="str">
        <x:f>IF('04_テストケース'!C28="","",'04_テストケース'!C28)</x:f>
        <x:v>API-AUTH-001</x:v>
      </x:c>
      <x:c r="C28" s="34" t="str">
        <x:f>IF('04_テストケース'!H28="","",'04_テストケース'!H28)</x:f>
        <x:v>境界</x:v>
      </x:c>
      <x:c r="D28" s="34" t="str">
        <x:f>IF('04_テストケース'!P28="","",'04_テストケース'!P28)</x:f>
        <x:v>evidence/UT-AUTH-001-021.png</x:v>
      </x:c>
      <x:c r="E28" s="34"/>
      <x:c r="F28" s="34"/>
      <x:c r="G28" s="34"/>
      <x:c r="H28" s="34" t="str">
        <x:f>IF('04_テストケース'!Q28="","",'04_テストケース'!Q28)</x:f>
      </x:c>
    </x:row>
    <x:row r="29" ht="30" customHeight="1">
      <x:c r="A29" s="34" t="str">
        <x:f>IF('04_テストケース'!A29="","",'04_テストケース'!A29)</x:f>
        <x:v>UT-AUTH-001-022</x:v>
      </x:c>
      <x:c r="B29" s="34" t="str">
        <x:f>IF('04_テストケース'!C29="","",'04_テストケース'!C29)</x:f>
        <x:v>API-AUTH-001</x:v>
      </x:c>
      <x:c r="C29" s="34" t="str">
        <x:f>IF('04_テストケース'!H29="","",'04_テストケース'!H29)</x:f>
        <x:v>正常</x:v>
      </x:c>
      <x:c r="D29" s="34" t="str">
        <x:f>IF('04_テストケース'!P29="","",'04_テストケース'!P29)</x:f>
        <x:v>evidence/UT-AUTH-001-022.png</x:v>
      </x:c>
      <x:c r="E29" s="34"/>
      <x:c r="F29" s="34"/>
      <x:c r="G29" s="34"/>
      <x:c r="H29" s="34" t="str">
        <x:f>IF('04_テストケース'!Q29="","",'04_テストケース'!Q29)</x:f>
      </x:c>
    </x:row>
    <x:row r="30" ht="30" customHeight="1">
      <x:c r="A30" s="34" t="str">
        <x:f>IF('04_テストケース'!A30="","",'04_テストケース'!A30)</x:f>
        <x:v>UT-AUTH-001-023</x:v>
      </x:c>
      <x:c r="B30" s="34" t="str">
        <x:f>IF('04_テストケース'!C30="","",'04_テストケース'!C30)</x:f>
        <x:v>API-AUTH-001</x:v>
      </x:c>
      <x:c r="C30" s="34" t="str">
        <x:f>IF('04_テストケース'!H30="","",'04_テストケース'!H30)</x:f>
        <x:v>排他</x:v>
      </x:c>
      <x:c r="D30" s="34" t="str">
        <x:f>IF('04_テストケース'!P30="","",'04_テストケース'!P30)</x:f>
        <x:v>evidence/UT-AUTH-001-023.png</x:v>
      </x:c>
      <x:c r="E30" s="34"/>
      <x:c r="F30" s="34"/>
      <x:c r="G30" s="34"/>
      <x:c r="H30" s="34" t="str">
        <x:f>IF('04_テストケース'!Q30="","",'04_テストケース'!Q30)</x:f>
      </x:c>
    </x:row>
    <x:row r="31" ht="30" customHeight="1">
      <x:c r="A31" s="34" t="str">
        <x:f>IF('04_テストケース'!A31="","",'04_テストケース'!A31)</x:f>
        <x:v>UT-AUTH-001-024</x:v>
      </x:c>
      <x:c r="B31" s="34" t="str">
        <x:f>IF('04_テストケース'!C31="","",'04_テストケース'!C31)</x:f>
        <x:v>API-AUTH-001</x:v>
      </x:c>
      <x:c r="C31" s="34" t="str">
        <x:f>IF('04_テストケース'!H31="","",'04_テストケース'!H31)</x:f>
        <x:v>業務異常</x:v>
      </x:c>
      <x:c r="D31" s="34" t="str">
        <x:f>IF('04_テストケース'!P31="","",'04_テストケース'!P31)</x:f>
        <x:v>evidence/UT-AUTH-001-024.png</x:v>
      </x:c>
      <x:c r="E31" s="34"/>
      <x:c r="F31" s="34"/>
      <x:c r="G31" s="34"/>
      <x:c r="H31" s="34" t="str">
        <x:f>IF('04_テストケース'!Q31="","",'04_テストケース'!Q31)</x:f>
      </x:c>
    </x:row>
    <x:row r="32" ht="30" customHeight="1">
      <x:c r="A32" s="34" t="str">
        <x:f>IF('04_テストケース'!A32="","",'04_テストケース'!A32)</x:f>
        <x:v>UT-AUTH-001-025</x:v>
      </x:c>
      <x:c r="B32" s="34" t="str">
        <x:f>IF('04_テストケース'!C32="","",'04_テストケース'!C32)</x:f>
        <x:v>API-AUTH-001</x:v>
      </x:c>
      <x:c r="C32" s="34" t="str">
        <x:f>IF('04_テストケース'!H32="","",'04_テストケース'!H32)</x:f>
        <x:v>正常</x:v>
      </x:c>
      <x:c r="D32" s="34" t="str">
        <x:f>IF('04_テストケース'!P32="","",'04_テストケース'!P32)</x:f>
        <x:v>evidence/UT-AUTH-001-025.png</x:v>
      </x:c>
      <x:c r="E32" s="34"/>
      <x:c r="F32" s="34"/>
      <x:c r="G32" s="34"/>
      <x:c r="H32" s="34" t="str">
        <x:f>IF('04_テストケース'!Q32="","",'04_テストケース'!Q32)</x:f>
      </x:c>
    </x:row>
    <x:row r="33" ht="30" customHeight="1">
      <x:c r="A33" s="34" t="str">
        <x:f>IF('04_テストケース'!A33="","",'04_テストケース'!A33)</x:f>
        <x:v>UT-AUTH-001-026</x:v>
      </x:c>
      <x:c r="B33" s="34" t="str">
        <x:f>IF('04_テストケース'!C33="","",'04_テストケース'!C33)</x:f>
        <x:v>API-AUTH-001</x:v>
      </x:c>
      <x:c r="C33" s="34" t="str">
        <x:f>IF('04_テストケース'!H33="","",'04_テストケース'!H33)</x:f>
        <x:v>正常</x:v>
      </x:c>
      <x:c r="D33" s="34" t="str">
        <x:f>IF('04_テストケース'!P33="","",'04_テストケース'!P33)</x:f>
        <x:v>evidence/UT-AUTH-001-026.png</x:v>
      </x:c>
      <x:c r="E33" s="34"/>
      <x:c r="F33" s="34"/>
      <x:c r="G33" s="34"/>
      <x:c r="H33" s="34" t="str">
        <x:f>IF('04_テストケース'!Q33="","",'04_テストケース'!Q33)</x:f>
      </x:c>
    </x:row>
    <x:row r="34" ht="30" customHeight="1">
      <x:c r="A34" s="34" t="str">
        <x:f>IF('04_テストケース'!A34="","",'04_テストケース'!A34)</x:f>
        <x:v>UT-AUTH-001-027</x:v>
      </x:c>
      <x:c r="B34" s="34" t="str">
        <x:f>IF('04_テストケース'!C34="","",'04_テストケース'!C34)</x:f>
        <x:v>API-AUTH-001</x:v>
      </x:c>
      <x:c r="C34" s="34" t="str">
        <x:f>IF('04_テストケース'!H34="","",'04_テストケース'!H34)</x:f>
        <x:v>正常</x:v>
      </x:c>
      <x:c r="D34" s="34" t="str">
        <x:f>IF('04_テストケース'!P34="","",'04_テストケース'!P34)</x:f>
        <x:v>evidence/UT-AUTH-001-027.png</x:v>
      </x:c>
      <x:c r="E34" s="34"/>
      <x:c r="F34" s="34"/>
      <x:c r="G34" s="34"/>
      <x:c r="H34" s="34" t="str">
        <x:f>IF('04_テストケース'!Q34="","",'04_テストケース'!Q34)</x:f>
      </x:c>
    </x:row>
    <x:row r="35" ht="30" customHeight="1">
      <x:c r="A35" s="34" t="str">
        <x:f>IF('04_テストケース'!A35="","",'04_テストケース'!A35)</x:f>
        <x:v>UT-AUTH-001-028</x:v>
      </x:c>
      <x:c r="B35" s="34" t="str">
        <x:f>IF('04_テストケース'!C35="","",'04_テストケース'!C35)</x:f>
        <x:v>API-AUTH-001</x:v>
      </x:c>
      <x:c r="C35" s="34" t="str">
        <x:f>IF('04_テストケース'!H35="","",'04_テストケース'!H35)</x:f>
        <x:v>正常</x:v>
      </x:c>
      <x:c r="D35" s="34" t="str">
        <x:f>IF('04_テストケース'!P35="","",'04_テストケース'!P35)</x:f>
        <x:v>evidence/UT-AUTH-001-028.png</x:v>
      </x:c>
      <x:c r="E35" s="34"/>
      <x:c r="F35" s="34"/>
      <x:c r="G35" s="34"/>
      <x:c r="H35" s="34" t="str">
        <x:f>IF('04_テストケース'!Q35="","",'04_テストケース'!Q35)</x:f>
      </x:c>
    </x:row>
    <x:row r="36" ht="30" customHeight="1">
      <x:c r="A36" s="34" t="str">
        <x:f>IF('04_テストケース'!A36="","",'04_テストケース'!A36)</x:f>
        <x:v>UT-AUTH-001-029</x:v>
      </x:c>
      <x:c r="B36" s="34" t="str">
        <x:f>IF('04_テストケース'!C36="","",'04_テストケース'!C36)</x:f>
        <x:v>API-AUTH-001</x:v>
      </x:c>
      <x:c r="C36" s="34" t="str">
        <x:f>IF('04_テストケース'!H36="","",'04_テストケース'!H36)</x:f>
        <x:v>Security</x:v>
      </x:c>
      <x:c r="D36" s="34" t="str">
        <x:f>IF('04_テストケース'!P36="","",'04_テストケース'!P36)</x:f>
        <x:v>evidence/UT-AUTH-001-029.png</x:v>
      </x:c>
      <x:c r="E36" s="34"/>
      <x:c r="F36" s="34"/>
      <x:c r="G36" s="34"/>
      <x:c r="H36" s="34" t="str">
        <x:f>IF('04_テストケース'!Q36="","",'04_テストケース'!Q36)</x:f>
      </x:c>
    </x:row>
    <x:row r="37" ht="30" customHeight="1">
      <x:c r="A37" s="34" t="str">
        <x:f>IF('04_テストケース'!A37="","",'04_テストケース'!A37)</x:f>
        <x:v>UT-AUTH-001-030</x:v>
      </x:c>
      <x:c r="B37" s="34" t="str">
        <x:f>IF('04_テストケース'!C37="","",'04_テストケース'!C37)</x:f>
        <x:v>API-AUTH-001</x:v>
      </x:c>
      <x:c r="C37" s="34" t="str">
        <x:f>IF('04_テストケース'!H37="","",'04_テストケース'!H37)</x:f>
        <x:v>正常</x:v>
      </x:c>
      <x:c r="D37" s="34" t="str">
        <x:f>IF('04_テストケース'!P37="","",'04_テストケース'!P37)</x:f>
        <x:v>evidence/UT-AUTH-001-030.png</x:v>
      </x:c>
      <x:c r="E37" s="34"/>
      <x:c r="F37" s="34"/>
      <x:c r="G37" s="34"/>
      <x:c r="H37" s="34" t="str">
        <x:f>IF('04_テストケース'!Q37="","",'04_テストケース'!Q37)</x:f>
      </x:c>
    </x:row>
    <x:row r="38" ht="30" customHeight="1">
      <x:c r="A38" s="34" t="str">
        <x:f>IF('04_テストケース'!A38="","",'04_テストケース'!A38)</x:f>
        <x:v>UT-AUTH-001-031</x:v>
      </x:c>
      <x:c r="B38" s="34" t="str">
        <x:f>IF('04_テストケース'!C38="","",'04_テストケース'!C38)</x:f>
        <x:v>API-AUTH-001</x:v>
      </x:c>
      <x:c r="C38" s="34" t="str">
        <x:f>IF('04_テストケース'!H38="","",'04_テストケース'!H38)</x:f>
        <x:v>Transaction</x:v>
      </x:c>
      <x:c r="D38" s="34" t="str">
        <x:f>IF('04_テストケース'!P38="","",'04_テストケース'!P38)</x:f>
        <x:v>evidence/UT-AUTH-001-031.png</x:v>
      </x:c>
      <x:c r="E38" s="34"/>
      <x:c r="F38" s="34"/>
      <x:c r="G38" s="34"/>
      <x:c r="H38" s="34" t="str">
        <x:f>IF('04_テストケース'!Q38="","",'04_テストケース'!Q38)</x:f>
      </x:c>
    </x:row>
    <x:row r="39" ht="30" customHeight="1">
      <x:c r="A39" s="34" t="str">
        <x:f>IF('04_テストケース'!A39="","",'04_テストケース'!A39)</x:f>
        <x:v>UT-AUTH-001-032</x:v>
      </x:c>
      <x:c r="B39" s="34" t="str">
        <x:f>IF('04_テストケース'!C39="","",'04_テストケース'!C39)</x:f>
        <x:v>API-AUTH-001</x:v>
      </x:c>
      <x:c r="C39" s="34" t="str">
        <x:f>IF('04_テストケース'!H39="","",'04_テストケース'!H39)</x:f>
        <x:v>障害</x:v>
      </x:c>
      <x:c r="D39" s="34" t="str">
        <x:f>IF('04_テストケース'!P39="","",'04_テストケース'!P39)</x:f>
        <x:v>evidence/UT-AUTH-001-032.png</x:v>
      </x:c>
      <x:c r="E39" s="34"/>
      <x:c r="F39" s="34"/>
      <x:c r="G39" s="34"/>
      <x:c r="H39" s="34" t="str">
        <x:f>IF('04_テストケース'!Q39="","",'04_テストケース'!Q39)</x:f>
      </x:c>
    </x:row>
    <x:row r="40" ht="30" customHeight="1">
      <x:c r="A40" s="34" t="str">
        <x:f>IF('04_テストケース'!A40="","",'04_テストケース'!A40)</x:f>
        <x:v>UT-AUTH-001-033</x:v>
      </x:c>
      <x:c r="B40" s="34" t="str">
        <x:f>IF('04_テストケース'!C40="","",'04_テストケース'!C40)</x:f>
        <x:v>API-AUTH-001</x:v>
      </x:c>
      <x:c r="C40" s="34" t="str">
        <x:f>IF('04_テストケース'!H40="","",'04_テストケース'!H40)</x:f>
        <x:v>Log</x:v>
      </x:c>
      <x:c r="D40" s="34" t="str">
        <x:f>IF('04_テストケース'!P40="","",'04_テストケース'!P40)</x:f>
        <x:v>evidence/UT-AUTH-001-033.png</x:v>
      </x:c>
      <x:c r="E40" s="34"/>
      <x:c r="F40" s="34"/>
      <x:c r="G40" s="34"/>
      <x:c r="H40" s="34" t="str">
        <x:f>IF('04_テストケース'!Q40="","",'04_テストケース'!Q40)</x:f>
      </x:c>
    </x:row>
    <x:row r="41" ht="30" customHeight="1">
      <x:c r="A41" s="34" t="str">
        <x:f>IF('04_テストケース'!A41="","",'04_テストケース'!A41)</x:f>
        <x:v>UT-AUTH-001-034</x:v>
      </x:c>
      <x:c r="B41" s="34" t="str">
        <x:f>IF('04_テストケース'!C41="","",'04_テストケース'!C41)</x:f>
        <x:v>API-AUTH-001</x:v>
      </x:c>
      <x:c r="C41" s="34" t="str">
        <x:f>IF('04_テストケース'!H41="","",'04_テストケース'!H41)</x:f>
        <x:v>Log</x:v>
      </x:c>
      <x:c r="D41" s="34" t="str">
        <x:f>IF('04_テストケース'!P41="","",'04_テストケース'!P41)</x:f>
        <x:v>evidence/UT-AUTH-001-034.png</x:v>
      </x:c>
      <x:c r="E41" s="34"/>
      <x:c r="F41" s="34"/>
      <x:c r="G41" s="34"/>
      <x:c r="H41" s="34" t="str">
        <x:f>IF('04_テストケース'!Q41="","",'04_テストケース'!Q41)</x:f>
      </x:c>
    </x:row>
    <x:row r="42" ht="30" customHeight="1">
      <x:c r="A42" s="34" t="str">
        <x:f>IF('04_テストケース'!A42="","",'04_テストケース'!A42)</x:f>
        <x:v>UT-AUTH-001-035</x:v>
      </x:c>
      <x:c r="B42" s="34" t="str">
        <x:f>IF('04_テストケース'!C42="","",'04_テストケース'!C42)</x:f>
        <x:v>API-AUTH-001</x:v>
      </x:c>
      <x:c r="C42" s="34" t="str">
        <x:f>IF('04_テストケース'!H42="","",'04_テストケース'!H42)</x:f>
        <x:v>DB</x:v>
      </x:c>
      <x:c r="D42" s="34" t="str">
        <x:f>IF('04_テストケース'!P42="","",'04_テストケース'!P42)</x:f>
        <x:v>evidence/UT-AUTH-001-035.png</x:v>
      </x:c>
      <x:c r="E42" s="34"/>
      <x:c r="F42" s="34"/>
      <x:c r="G42" s="34"/>
      <x:c r="H42" s="34" t="str">
        <x:f>IF('04_テストケース'!Q42="","",'04_テストケース'!Q42)</x:f>
      </x:c>
    </x:row>
    <x:row r="43" ht="30" customHeight="1">
      <x:c r="A43" s="34" t="str">
        <x:f>IF('04_テストケース'!A43="","",'04_テストケース'!A43)</x:f>
        <x:v>UT-AUTH-001-036</x:v>
      </x:c>
      <x:c r="B43" s="34" t="str">
        <x:f>IF('04_テストケース'!C43="","",'04_テストケース'!C43)</x:f>
        <x:v>API-AUTH-001</x:v>
      </x:c>
      <x:c r="C43" s="34" t="str">
        <x:f>IF('04_テストケース'!H43="","",'04_テストケース'!H43)</x:f>
        <x:v>例外</x:v>
      </x:c>
      <x:c r="D43" s="34" t="str">
        <x:f>IF('04_テストケース'!P43="","",'04_テストケース'!P43)</x:f>
        <x:v>evidence/UT-AUTH-001-036.png</x:v>
      </x:c>
      <x:c r="E43" s="34"/>
      <x:c r="F43" s="34"/>
      <x:c r="G43" s="34"/>
      <x:c r="H43" s="34" t="str">
        <x:f>IF('04_テストケース'!Q43="","",'04_テストケース'!Q43)</x:f>
      </x:c>
    </x:row>
    <x:row r="44" ht="30" customHeight="1">
      <x:c r="A44" s="34" t="str">
        <x:f>IF('04_テストケース'!A44="","",'04_テストケース'!A44)</x:f>
        <x:v>UT-AUTH-001-037</x:v>
      </x:c>
      <x:c r="B44" s="34" t="str">
        <x:f>IF('04_テストケース'!C44="","",'04_テストケース'!C44)</x:f>
        <x:v>API-AUTH-001</x:v>
      </x:c>
      <x:c r="C44" s="34" t="str">
        <x:f>IF('04_テストケース'!H44="","",'04_テストケース'!H44)</x:f>
        <x:v>例外</x:v>
      </x:c>
      <x:c r="D44" s="34" t="str">
        <x:f>IF('04_テストケース'!P44="","",'04_テストケース'!P44)</x:f>
        <x:v>evidence/UT-AUTH-001-037.png</x:v>
      </x:c>
      <x:c r="E44" s="34"/>
      <x:c r="F44" s="34"/>
      <x:c r="G44" s="34"/>
      <x:c r="H44" s="34" t="str">
        <x:f>IF('04_テストケース'!Q44="","",'04_テストケース'!Q44)</x:f>
      </x:c>
    </x:row>
    <x:row r="45" ht="30" customHeight="1">
      <x:c r="A45" s="34" t="str">
        <x:f>IF('04_テストケース'!A45="","",'04_テストケース'!A45)</x:f>
        <x:v>UT-AUTH-001-038</x:v>
      </x:c>
      <x:c r="B45" s="34" t="str">
        <x:f>IF('04_テストケース'!C45="","",'04_テストケース'!C45)</x:f>
        <x:v>API-AUTH-001</x:v>
      </x:c>
      <x:c r="C45" s="34" t="str">
        <x:f>IF('04_テストケース'!H45="","",'04_テストケース'!H45)</x:f>
        <x:v>例外</x:v>
      </x:c>
      <x:c r="D45" s="34" t="str">
        <x:f>IF('04_テストケース'!P45="","",'04_テストケース'!P45)</x:f>
        <x:v>evidence/UT-AUTH-001-038.png</x:v>
      </x:c>
      <x:c r="E45" s="34"/>
      <x:c r="F45" s="34"/>
      <x:c r="G45" s="34"/>
      <x:c r="H45" s="34" t="str">
        <x:f>IF('04_テストケース'!Q45="","",'04_テストケース'!Q45)</x:f>
      </x:c>
    </x:row>
    <x:row r="46" ht="30" customHeight="1">
      <x:c r="A46" s="34" t="str">
        <x:f>IF('04_テストケース'!A46="","",'04_テストケース'!A46)</x:f>
        <x:v>UT-AUTH-001-039</x:v>
      </x:c>
      <x:c r="B46" s="34" t="str">
        <x:f>IF('04_テストケース'!C46="","",'04_テストケース'!C46)</x:f>
        <x:v>API-AUTH-001</x:v>
      </x:c>
      <x:c r="C46" s="34" t="str">
        <x:f>IF('04_テストケース'!H46="","",'04_テストケース'!H46)</x:f>
        <x:v>境界</x:v>
      </x:c>
      <x:c r="D46" s="34" t="str">
        <x:f>IF('04_テストケース'!P46="","",'04_テストケース'!P46)</x:f>
        <x:v>evidence/UT-AUTH-001-039.png</x:v>
      </x:c>
      <x:c r="E46" s="34"/>
      <x:c r="F46" s="34"/>
      <x:c r="G46" s="34"/>
      <x:c r="H46" s="34" t="str">
        <x:f>IF('04_テストケース'!Q46="","",'04_テストケース'!Q46)</x:f>
      </x:c>
    </x:row>
    <x:row r="47" ht="30" customHeight="1">
      <x:c r="A47" s="34" t="str">
        <x:f>IF('04_テストケース'!A47="","",'04_テストケース'!A47)</x:f>
        <x:v>UT-AUTH-001-040</x:v>
      </x:c>
      <x:c r="B47" s="34" t="str">
        <x:f>IF('04_テストケース'!C47="","",'04_テストケース'!C47)</x:f>
        <x:v>API-AUTH-001</x:v>
      </x:c>
      <x:c r="C47" s="34" t="str">
        <x:f>IF('04_テストケース'!H47="","",'04_テストケース'!H47)</x:f>
        <x:v>境界</x:v>
      </x:c>
      <x:c r="D47" s="34" t="str">
        <x:f>IF('04_テストケース'!P47="","",'04_テストケース'!P47)</x:f>
        <x:v>evidence/UT-AUTH-001-040.png</x:v>
      </x:c>
      <x:c r="E47" s="34"/>
      <x:c r="F47" s="34"/>
      <x:c r="G47" s="34"/>
      <x:c r="H47" s="34" t="str">
        <x:f>IF('04_テストケース'!Q47="","",'04_テストケース'!Q47)</x:f>
      </x:c>
    </x:row>
    <x:row r="48" ht="30" customHeight="1">
      <x:c r="A48" s="34" t="str">
        <x:f>IF('04_テストケース'!A48="","",'04_テストケース'!A48)</x:f>
        <x:v>UT-AUTH-001-041</x:v>
      </x:c>
      <x:c r="B48" s="34" t="str">
        <x:f>IF('04_テストケース'!C48="","",'04_テストケース'!C48)</x:f>
        <x:v>API-AUTH-001</x:v>
      </x:c>
      <x:c r="C48" s="34" t="str">
        <x:f>IF('04_テストケース'!H48="","",'04_テストケース'!H48)</x:f>
        <x:v>Security</x:v>
      </x:c>
      <x:c r="D48" s="34" t="str">
        <x:f>IF('04_テストケース'!P48="","",'04_テストケース'!P48)</x:f>
        <x:v>evidence/UT-AUTH-001-041.png</x:v>
      </x:c>
      <x:c r="E48" s="34"/>
      <x:c r="F48" s="34"/>
      <x:c r="G48" s="34"/>
      <x:c r="H48" s="34" t="str">
        <x:f>IF('04_テストケース'!Q48="","",'04_テストケース'!Q48)</x:f>
      </x:c>
    </x:row>
    <x:row r="49" ht="30" customHeight="1">
      <x:c r="A49" s="34" t="str">
        <x:f>IF('04_テストケース'!A49="","",'04_テストケース'!A49)</x:f>
        <x:v>UT-AUTH-001-042</x:v>
      </x:c>
      <x:c r="B49" s="34" t="str">
        <x:f>IF('04_テストケース'!C49="","",'04_テストケース'!C49)</x:f>
        <x:v>API-AUTH-001</x:v>
      </x:c>
      <x:c r="C49" s="34" t="str">
        <x:f>IF('04_テストケース'!H49="","",'04_テストケース'!H49)</x:f>
        <x:v>境界</x:v>
      </x:c>
      <x:c r="D49" s="34" t="str">
        <x:f>IF('04_テストケース'!P49="","",'04_テストケース'!P49)</x:f>
        <x:v>evidence/UT-AUTH-001-042.png</x:v>
      </x:c>
      <x:c r="E49" s="34"/>
      <x:c r="F49" s="34"/>
      <x:c r="G49" s="34"/>
      <x:c r="H49" s="34" t="str">
        <x:f>IF('04_テストケース'!Q49="","",'04_テストケース'!Q49)</x:f>
      </x:c>
    </x:row>
    <x:row r="50" ht="30" customHeight="1">
      <x:c r="A50" s="34" t="str">
        <x:f>IF('04_テストケース'!A50="","",'04_テストケース'!A50)</x:f>
        <x:v>UT-AUTH-001-043</x:v>
      </x:c>
      <x:c r="B50" s="34" t="str">
        <x:f>IF('04_テストケース'!C50="","",'04_テストケース'!C50)</x:f>
        <x:v>API-AUTH-001</x:v>
      </x:c>
      <x:c r="C50" s="34" t="str">
        <x:f>IF('04_テストケース'!H50="","",'04_テストケース'!H50)</x:f>
        <x:v>入力異常</x:v>
      </x:c>
      <x:c r="D50" s="34" t="str">
        <x:f>IF('04_テストケース'!P50="","",'04_テストケース'!P50)</x:f>
        <x:v>evidence/UT-AUTH-001-043.png</x:v>
      </x:c>
      <x:c r="E50" s="34"/>
      <x:c r="F50" s="34"/>
      <x:c r="G50" s="34"/>
      <x:c r="H50" s="34" t="str">
        <x:f>IF('04_テストケース'!Q50="","",'04_テストケース'!Q50)</x:f>
      </x:c>
    </x:row>
    <x:row r="51" ht="30" customHeight="1">
      <x:c r="A51" s="34" t="str">
        <x:f>IF('04_テストケース'!A51="","",'04_テストケース'!A51)</x:f>
        <x:v>UT-AUTH-001-044</x:v>
      </x:c>
      <x:c r="B51" s="34" t="str">
        <x:f>IF('04_テストケース'!C51="","",'04_テストケース'!C51)</x:f>
        <x:v>API-AUTH-001</x:v>
      </x:c>
      <x:c r="C51" s="34" t="str">
        <x:f>IF('04_テストケース'!H51="","",'04_テストケース'!H51)</x:f>
        <x:v>入力異常</x:v>
      </x:c>
      <x:c r="D51" s="34" t="str">
        <x:f>IF('04_テストケース'!P51="","",'04_テストケース'!P51)</x:f>
        <x:v>evidence/UT-AUTH-001-044.png</x:v>
      </x:c>
      <x:c r="E51" s="34"/>
      <x:c r="F51" s="34"/>
      <x:c r="G51" s="34"/>
      <x:c r="H51" s="34" t="str">
        <x:f>IF('04_テストケース'!Q51="","",'04_テストケース'!Q51)</x:f>
      </x:c>
    </x:row>
    <x:row r="52" ht="30" customHeight="1">
      <x:c r="A52" s="34" t="str">
        <x:f>IF('04_テストケース'!A52="","",'04_テストケース'!A52)</x:f>
        <x:v>UT-AUTH-001-045</x:v>
      </x:c>
      <x:c r="B52" s="34" t="str">
        <x:f>IF('04_テストケース'!C52="","",'04_テストケース'!C52)</x:f>
        <x:v>API-AUTH-001</x:v>
      </x:c>
      <x:c r="C52" s="34" t="str">
        <x:f>IF('04_テストケース'!H52="","",'04_テストケース'!H52)</x:f>
        <x:v>Log</x:v>
      </x:c>
      <x:c r="D52" s="34" t="str">
        <x:f>IF('04_テストケース'!P52="","",'04_テストケース'!P52)</x:f>
        <x:v>evidence/UT-AUTH-001-045.png</x:v>
      </x:c>
      <x:c r="E52" s="34"/>
      <x:c r="F52" s="34"/>
      <x:c r="G52" s="34"/>
      <x:c r="H52" s="34" t="str">
        <x:f>IF('04_テストケース'!Q52="","",'04_テストケース'!Q52)</x:f>
      </x:c>
    </x:row>
    <x:row r="53" ht="30" customHeight="1">
      <x:c r="A53" s="34" t="str">
        <x:f>IF('04_テストケース'!A53="","",'04_テストケース'!A53)</x:f>
        <x:v>UT-AUTH-001-046</x:v>
      </x:c>
      <x:c r="B53" s="34" t="str">
        <x:f>IF('04_テストケース'!C53="","",'04_テストケース'!C53)</x:f>
        <x:v>API-AUTH-001</x:v>
      </x:c>
      <x:c r="C53" s="34" t="str">
        <x:f>IF('04_テストケース'!H53="","",'04_テストケース'!H53)</x:f>
        <x:v>正常</x:v>
      </x:c>
      <x:c r="D53" s="34" t="str">
        <x:f>IF('04_テストケース'!P53="","",'04_テストケース'!P53)</x:f>
        <x:v>evidence/UT-AUTH-001-046.png</x:v>
      </x:c>
      <x:c r="E53" s="34"/>
      <x:c r="F53" s="34"/>
      <x:c r="G53" s="34"/>
      <x:c r="H53" s="34" t="str">
        <x:f>IF('04_テストケース'!Q53="","",'04_テストケース'!Q53)</x:f>
      </x:c>
    </x:row>
    <x:row r="54" ht="30" customHeight="1">
      <x:c r="A54" s="34" t="str">
        <x:f>IF('04_テストケース'!A54="","",'04_テストケース'!A54)</x:f>
        <x:v>UT-AUTH-001-047</x:v>
      </x:c>
      <x:c r="B54" s="34" t="str">
        <x:f>IF('04_テストケース'!C54="","",'04_テストケース'!C54)</x:f>
        <x:v>API-AUTH-001</x:v>
      </x:c>
      <x:c r="C54" s="34" t="str">
        <x:f>IF('04_テストケース'!H54="","",'04_テストケース'!H54)</x:f>
        <x:v>性能</x:v>
      </x:c>
      <x:c r="D54" s="34" t="str">
        <x:f>IF('04_テストケース'!P54="","",'04_テストケース'!P54)</x:f>
        <x:v>evidence/UT-AUTH-001-047.png</x:v>
      </x:c>
      <x:c r="E54" s="34"/>
      <x:c r="F54" s="34"/>
      <x:c r="G54" s="34"/>
      <x:c r="H54" s="34" t="str">
        <x:f>IF('04_テストケース'!Q54="","",'04_テストケース'!Q54)</x:f>
      </x:c>
    </x:row>
    <x:row r="55" ht="30" customHeight="1">
      <x:c r="A55" s="34" t="str">
        <x:f>IF('04_テストケース'!A55="","",'04_テストケース'!A55)</x:f>
        <x:v>UT-AUTH-001-048</x:v>
      </x:c>
      <x:c r="B55" s="34" t="str">
        <x:f>IF('04_テストケース'!C55="","",'04_テストケース'!C55)</x:f>
        <x:v>API-AUTH-001</x:v>
      </x:c>
      <x:c r="C55" s="34" t="str">
        <x:f>IF('04_テストケース'!H55="","",'04_テストケース'!H55)</x:f>
        <x:v>Security</x:v>
      </x:c>
      <x:c r="D55" s="34" t="str">
        <x:f>IF('04_テストケース'!P55="","",'04_テストケース'!P55)</x:f>
        <x:v>evidence/UT-AUTH-001-048.png</x:v>
      </x:c>
      <x:c r="E55" s="34"/>
      <x:c r="F55" s="34"/>
      <x:c r="G55" s="34"/>
      <x:c r="H55" s="34" t="str">
        <x:f>IF('04_テストケース'!Q55="","",'04_テストケース'!Q55)</x:f>
      </x:c>
    </x:row>
    <x:row r="56" ht="30" customHeight="1">
      <x:c r="A56" s="34" t="str">
        <x:f>IF('04_テストケース'!A56="","",'04_テストケース'!A56)</x:f>
        <x:v>UT-AUTH-001-049</x:v>
      </x:c>
      <x:c r="B56" s="34" t="str">
        <x:f>IF('04_テストケース'!C56="","",'04_テストケース'!C56)</x:f>
        <x:v>API-AUTH-001</x:v>
      </x:c>
      <x:c r="C56" s="34" t="str">
        <x:f>IF('04_テストケース'!H56="","",'04_テストケース'!H56)</x:f>
        <x:v>業務異常</x:v>
      </x:c>
      <x:c r="D56" s="34" t="str">
        <x:f>IF('04_テストケース'!P56="","",'04_テストケース'!P56)</x:f>
        <x:v>evidence/UT-AUTH-001-049.png</x:v>
      </x:c>
      <x:c r="E56" s="34"/>
      <x:c r="F56" s="34"/>
      <x:c r="G56" s="34"/>
      <x:c r="H56" s="34" t="str">
        <x:f>IF('04_テストケース'!Q56="","",'04_テストケース'!Q56)</x:f>
      </x:c>
    </x:row>
    <x:row r="57" ht="30" customHeight="1">
      <x:c r="A57" s="34" t="str">
        <x:f>IF('04_テストケース'!A57="","",'04_テストケース'!A57)</x:f>
        <x:v>UT-AUTH-001-050</x:v>
      </x:c>
      <x:c r="B57" s="34" t="str">
        <x:f>IF('04_テストケース'!C57="","",'04_テストケース'!C57)</x:f>
        <x:v>API-AUTH-001</x:v>
      </x:c>
      <x:c r="C57" s="34" t="str">
        <x:f>IF('04_テストケース'!H57="","",'04_テストケース'!H57)</x:f>
        <x:v>Security</x:v>
      </x:c>
      <x:c r="D57" s="34" t="str">
        <x:f>IF('04_テストケース'!P57="","",'04_テストケース'!P57)</x:f>
        <x:v>evidence/UT-AUTH-001-050.png</x:v>
      </x:c>
      <x:c r="E57" s="34"/>
      <x:c r="F57" s="34"/>
      <x:c r="G57" s="34"/>
      <x:c r="H57" s="34" t="str">
        <x:f>IF('04_テストケース'!Q57="","",'04_テストケース'!Q57)</x:f>
      </x:c>
    </x:row>
    <x:row r="58">
      <x:c r="A58" t="str">
        <x:f>IF('04_テストケース'!A58="","",'04_テストケース'!A58)</x:f>
      </x:c>
      <x:c r="B58" t="str">
        <x:f>IF('04_テストケース'!C58="","",'04_テストケース'!C58)</x:f>
      </x:c>
      <x:c r="C58" t="str">
        <x:f>IF('04_テストケース'!H58="","",'04_テストケース'!H58)</x:f>
      </x:c>
      <x:c r="D58" t="str">
        <x:f>IF('04_テストケース'!P58="","",'04_テストケース'!P58)</x:f>
      </x:c>
      <x:c r="H58" t="str">
        <x:f>IF('04_テストケース'!Q58="","",'04_テストケース'!Q58)</x:f>
      </x:c>
    </x:row>
    <x:row r="59">
      <x:c r="A59" t="str">
        <x:f>IF('04_テストケース'!A59="","",'04_テストケース'!A59)</x:f>
      </x:c>
      <x:c r="B59" t="str">
        <x:f>IF('04_テストケース'!C59="","",'04_テストケース'!C59)</x:f>
      </x:c>
      <x:c r="C59" t="str">
        <x:f>IF('04_テストケース'!H59="","",'04_テストケース'!H59)</x:f>
      </x:c>
      <x:c r="D59" t="str">
        <x:f>IF('04_テストケース'!P59="","",'04_テストケース'!P59)</x:f>
      </x:c>
      <x:c r="H59" t="str">
        <x:f>IF('04_テストケース'!Q59="","",'04_テストケース'!Q59)</x:f>
      </x:c>
    </x:row>
    <x:row r="60">
      <x:c r="A60" t="str">
        <x:f>IF('04_テストケース'!A60="","",'04_テストケース'!A60)</x:f>
      </x:c>
      <x:c r="B60" t="str">
        <x:f>IF('04_テストケース'!C60="","",'04_テストケース'!C60)</x:f>
      </x:c>
      <x:c r="C60" t="str">
        <x:f>IF('04_テストケース'!H60="","",'04_テストケース'!H60)</x:f>
      </x:c>
      <x:c r="D60" t="str">
        <x:f>IF('04_テストケース'!P60="","",'04_テストケース'!P60)</x:f>
      </x:c>
      <x:c r="H60" t="str">
        <x:f>IF('04_テストケース'!Q60="","",'04_テストケース'!Q60)</x:f>
      </x:c>
    </x:row>
    <x:row r="61">
      <x:c r="A61" t="str">
        <x:f>IF('04_テストケース'!A61="","",'04_テストケース'!A61)</x:f>
      </x:c>
      <x:c r="B61" t="str">
        <x:f>IF('04_テストケース'!C61="","",'04_テストケース'!C61)</x:f>
      </x:c>
      <x:c r="C61" t="str">
        <x:f>IF('04_テストケース'!H61="","",'04_テストケース'!H61)</x:f>
      </x:c>
      <x:c r="D61" t="str">
        <x:f>IF('04_テストケース'!P61="","",'04_テストケース'!P61)</x:f>
      </x:c>
      <x:c r="H61" t="str">
        <x:f>IF('04_テストケース'!Q61="","",'04_テストケース'!Q61)</x:f>
      </x:c>
    </x:row>
    <x:row r="62">
      <x:c r="A62" t="str">
        <x:f>IF('04_テストケース'!A62="","",'04_テストケース'!A62)</x:f>
      </x:c>
      <x:c r="B62" t="str">
        <x:f>IF('04_テストケース'!C62="","",'04_テストケース'!C62)</x:f>
      </x:c>
      <x:c r="C62" t="str">
        <x:f>IF('04_テストケース'!H62="","",'04_テストケース'!H62)</x:f>
      </x:c>
      <x:c r="D62" t="str">
        <x:f>IF('04_テストケース'!P62="","",'04_テストケース'!P62)</x:f>
      </x:c>
      <x:c r="H62" t="str">
        <x:f>IF('04_テストケース'!Q62="","",'04_テストケース'!Q62)</x:f>
      </x:c>
    </x:row>
    <x:row r="63">
      <x:c r="A63" t="str">
        <x:f>IF('04_テストケース'!A63="","",'04_テストケース'!A63)</x:f>
      </x:c>
      <x:c r="B63" t="str">
        <x:f>IF('04_テストケース'!C63="","",'04_テストケース'!C63)</x:f>
      </x:c>
      <x:c r="C63" t="str">
        <x:f>IF('04_テストケース'!H63="","",'04_テストケース'!H63)</x:f>
      </x:c>
      <x:c r="D63" t="str">
        <x:f>IF('04_テストケース'!P63="","",'04_テストケース'!P63)</x:f>
      </x:c>
      <x:c r="H63" t="str">
        <x:f>IF('04_テストケース'!Q63="","",'04_テストケース'!Q63)</x:f>
      </x:c>
    </x:row>
    <x:row r="64">
      <x:c r="A64" t="str">
        <x:f>IF('04_テストケース'!A64="","",'04_テストケース'!A64)</x:f>
      </x:c>
      <x:c r="B64" t="str">
        <x:f>IF('04_テストケース'!C64="","",'04_テストケース'!C64)</x:f>
      </x:c>
      <x:c r="C64" t="str">
        <x:f>IF('04_テストケース'!H64="","",'04_テストケース'!H64)</x:f>
      </x:c>
      <x:c r="D64" t="str">
        <x:f>IF('04_テストケース'!P64="","",'04_テストケース'!P64)</x:f>
      </x:c>
      <x:c r="H64" t="str">
        <x:f>IF('04_テストケース'!Q64="","",'04_テストケース'!Q64)</x:f>
      </x:c>
    </x:row>
    <x:row r="65">
      <x:c r="A65" t="str">
        <x:f>IF('04_テストケース'!A65="","",'04_テストケース'!A65)</x:f>
      </x:c>
      <x:c r="B65" t="str">
        <x:f>IF('04_テストケース'!C65="","",'04_テストケース'!C65)</x:f>
      </x:c>
      <x:c r="C65" t="str">
        <x:f>IF('04_テストケース'!H65="","",'04_テストケース'!H65)</x:f>
      </x:c>
      <x:c r="D65" t="str">
        <x:f>IF('04_テストケース'!P65="","",'04_テストケース'!P65)</x:f>
      </x:c>
      <x:c r="H65" t="str">
        <x:f>IF('04_テストケース'!Q65="","",'04_テストケース'!Q65)</x:f>
      </x:c>
    </x:row>
    <x:row r="66">
      <x:c r="A66" t="str">
        <x:f>IF('04_テストケース'!A66="","",'04_テストケース'!A66)</x:f>
      </x:c>
      <x:c r="B66" t="str">
        <x:f>IF('04_テストケース'!C66="","",'04_テストケース'!C66)</x:f>
      </x:c>
      <x:c r="C66" t="str">
        <x:f>IF('04_テストケース'!H66="","",'04_テストケース'!H66)</x:f>
      </x:c>
      <x:c r="D66" t="str">
        <x:f>IF('04_テストケース'!P66="","",'04_テストケース'!P66)</x:f>
      </x:c>
      <x:c r="H66" t="str">
        <x:f>IF('04_テストケース'!Q66="","",'04_テストケース'!Q66)</x:f>
      </x:c>
    </x:row>
    <x:row r="67">
      <x:c r="A67" t="str">
        <x:f>IF('04_テストケース'!A67="","",'04_テストケース'!A67)</x:f>
      </x:c>
      <x:c r="B67" t="str">
        <x:f>IF('04_テストケース'!C67="","",'04_テストケース'!C67)</x:f>
      </x:c>
      <x:c r="C67" t="str">
        <x:f>IF('04_テストケース'!H67="","",'04_テストケース'!H67)</x:f>
      </x:c>
      <x:c r="D67" t="str">
        <x:f>IF('04_テストケース'!P67="","",'04_テストケース'!P67)</x:f>
      </x:c>
      <x:c r="H67" t="str">
        <x:f>IF('04_テストケース'!Q67="","",'04_テストケース'!Q67)</x:f>
      </x:c>
    </x:row>
    <x:row r="68">
      <x:c r="A68" t="str">
        <x:f>IF('04_テストケース'!A68="","",'04_テストケース'!A68)</x:f>
      </x:c>
      <x:c r="B68" t="str">
        <x:f>IF('04_テストケース'!C68="","",'04_テストケース'!C68)</x:f>
      </x:c>
      <x:c r="C68" t="str">
        <x:f>IF('04_テストケース'!H68="","",'04_テストケース'!H68)</x:f>
      </x:c>
      <x:c r="D68" t="str">
        <x:f>IF('04_テストケース'!P68="","",'04_テストケース'!P68)</x:f>
      </x:c>
      <x:c r="H68" t="str">
        <x:f>IF('04_テストケース'!Q68="","",'04_テストケース'!Q68)</x:f>
      </x:c>
    </x:row>
    <x:row r="69">
      <x:c r="A69" t="str">
        <x:f>IF('04_テストケース'!A69="","",'04_テストケース'!A69)</x:f>
      </x:c>
      <x:c r="B69" t="str">
        <x:f>IF('04_テストケース'!C69="","",'04_テストケース'!C69)</x:f>
      </x:c>
      <x:c r="C69" t="str">
        <x:f>IF('04_テストケース'!H69="","",'04_テストケース'!H69)</x:f>
      </x:c>
      <x:c r="D69" t="str">
        <x:f>IF('04_テストケース'!P69="","",'04_テストケース'!P69)</x:f>
      </x:c>
      <x:c r="H69" t="str">
        <x:f>IF('04_テストケース'!Q69="","",'04_テストケース'!Q69)</x:f>
      </x:c>
    </x:row>
    <x:row r="70">
      <x:c r="A70" t="str">
        <x:f>IF('04_テストケース'!A70="","",'04_テストケース'!A70)</x:f>
      </x:c>
      <x:c r="B70" t="str">
        <x:f>IF('04_テストケース'!C70="","",'04_テストケース'!C70)</x:f>
      </x:c>
      <x:c r="C70" t="str">
        <x:f>IF('04_テストケース'!H70="","",'04_テストケース'!H70)</x:f>
      </x:c>
      <x:c r="D70" t="str">
        <x:f>IF('04_テストケース'!P70="","",'04_テストケース'!P70)</x:f>
      </x:c>
      <x:c r="H70" t="str">
        <x:f>IF('04_テストケース'!Q70="","",'04_テストケース'!Q70)</x:f>
      </x:c>
    </x:row>
    <x:row r="71">
      <x:c r="A71" t="str">
        <x:f>IF('04_テストケース'!A71="","",'04_テストケース'!A71)</x:f>
      </x:c>
      <x:c r="B71" t="str">
        <x:f>IF('04_テストケース'!C71="","",'04_テストケース'!C71)</x:f>
      </x:c>
      <x:c r="C71" t="str">
        <x:f>IF('04_テストケース'!H71="","",'04_テストケース'!H71)</x:f>
      </x:c>
      <x:c r="D71" t="str">
        <x:f>IF('04_テストケース'!P71="","",'04_テストケース'!P71)</x:f>
      </x:c>
      <x:c r="H71" t="str">
        <x:f>IF('04_テストケース'!Q71="","",'04_テストケース'!Q71)</x:f>
      </x:c>
    </x:row>
    <x:row r="72">
      <x:c r="A72" t="str">
        <x:f>IF('04_テストケース'!A72="","",'04_テストケース'!A72)</x:f>
      </x:c>
      <x:c r="B72" t="str">
        <x:f>IF('04_テストケース'!C72="","",'04_テストケース'!C72)</x:f>
      </x:c>
      <x:c r="C72" t="str">
        <x:f>IF('04_テストケース'!H72="","",'04_テストケース'!H72)</x:f>
      </x:c>
      <x:c r="D72" t="str">
        <x:f>IF('04_テストケース'!P72="","",'04_テストケース'!P72)</x:f>
      </x:c>
      <x:c r="H72" t="str">
        <x:f>IF('04_テストケース'!Q72="","",'04_テストケース'!Q72)</x:f>
      </x:c>
    </x:row>
    <x:row r="73">
      <x:c r="A73" t="str">
        <x:f>IF('04_テストケース'!A73="","",'04_テストケース'!A73)</x:f>
      </x:c>
      <x:c r="B73" t="str">
        <x:f>IF('04_テストケース'!C73="","",'04_テストケース'!C73)</x:f>
      </x:c>
      <x:c r="C73" t="str">
        <x:f>IF('04_テストケース'!H73="","",'04_テストケース'!H73)</x:f>
      </x:c>
      <x:c r="D73" t="str">
        <x:f>IF('04_テストケース'!P73="","",'04_テストケース'!P73)</x:f>
      </x:c>
      <x:c r="H73" t="str">
        <x:f>IF('04_テストケース'!Q73="","",'04_テストケース'!Q73)</x:f>
      </x:c>
    </x:row>
    <x:row r="74">
      <x:c r="A74" t="str">
        <x:f>IF('04_テストケース'!A74="","",'04_テストケース'!A74)</x:f>
      </x:c>
      <x:c r="B74" t="str">
        <x:f>IF('04_テストケース'!C74="","",'04_テストケース'!C74)</x:f>
      </x:c>
      <x:c r="C74" t="str">
        <x:f>IF('04_テストケース'!H74="","",'04_テストケース'!H74)</x:f>
      </x:c>
      <x:c r="D74" t="str">
        <x:f>IF('04_テストケース'!P74="","",'04_テストケース'!P74)</x:f>
      </x:c>
      <x:c r="H74" t="str">
        <x:f>IF('04_テストケース'!Q74="","",'04_テストケース'!Q74)</x:f>
      </x:c>
    </x:row>
    <x:row r="75">
      <x:c r="A75" t="str">
        <x:f>IF('04_テストケース'!A75="","",'04_テストケース'!A75)</x:f>
      </x:c>
      <x:c r="B75" t="str">
        <x:f>IF('04_テストケース'!C75="","",'04_テストケース'!C75)</x:f>
      </x:c>
      <x:c r="C75" t="str">
        <x:f>IF('04_テストケース'!H75="","",'04_テストケース'!H75)</x:f>
      </x:c>
      <x:c r="D75" t="str">
        <x:f>IF('04_テストケース'!P75="","",'04_テストケース'!P75)</x:f>
      </x:c>
      <x:c r="H75" t="str">
        <x:f>IF('04_テストケース'!Q75="","",'04_テストケース'!Q75)</x:f>
      </x:c>
    </x:row>
    <x:row r="76">
      <x:c r="A76" t="str">
        <x:f>IF('04_テストケース'!A76="","",'04_テストケース'!A76)</x:f>
      </x:c>
      <x:c r="B76" t="str">
        <x:f>IF('04_テストケース'!C76="","",'04_テストケース'!C76)</x:f>
      </x:c>
      <x:c r="C76" t="str">
        <x:f>IF('04_テストケース'!H76="","",'04_テストケース'!H76)</x:f>
      </x:c>
      <x:c r="D76" t="str">
        <x:f>IF('04_テストケース'!P76="","",'04_テストケース'!P76)</x:f>
      </x:c>
      <x:c r="H76" t="str">
        <x:f>IF('04_テストケース'!Q76="","",'04_テストケース'!Q76)</x:f>
      </x:c>
    </x:row>
    <x:row r="77">
      <x:c r="A77" t="str">
        <x:f>IF('04_テストケース'!A77="","",'04_テストケース'!A77)</x:f>
      </x:c>
      <x:c r="B77" t="str">
        <x:f>IF('04_テストケース'!C77="","",'04_テストケース'!C77)</x:f>
      </x:c>
      <x:c r="C77" t="str">
        <x:f>IF('04_テストケース'!H77="","",'04_テストケース'!H77)</x:f>
      </x:c>
      <x:c r="D77" t="str">
        <x:f>IF('04_テストケース'!P77="","",'04_テストケース'!P77)</x:f>
      </x:c>
      <x:c r="H77" t="str">
        <x:f>IF('04_テストケース'!Q77="","",'04_テストケース'!Q77)</x:f>
      </x:c>
    </x:row>
    <x:row r="78">
      <x:c r="A78" t="str">
        <x:f>IF('04_テストケース'!A78="","",'04_テストケース'!A78)</x:f>
      </x:c>
      <x:c r="B78" t="str">
        <x:f>IF('04_テストケース'!C78="","",'04_テストケース'!C78)</x:f>
      </x:c>
      <x:c r="C78" t="str">
        <x:f>IF('04_テストケース'!H78="","",'04_テストケース'!H78)</x:f>
      </x:c>
      <x:c r="D78" t="str">
        <x:f>IF('04_テストケース'!P78="","",'04_テストケース'!P78)</x:f>
      </x:c>
      <x:c r="H78" t="str">
        <x:f>IF('04_テストケース'!Q78="","",'04_テストケース'!Q78)</x:f>
      </x:c>
    </x:row>
    <x:row r="79">
      <x:c r="A79" t="str">
        <x:f>IF('04_テストケース'!A79="","",'04_テストケース'!A79)</x:f>
      </x:c>
      <x:c r="B79" t="str">
        <x:f>IF('04_テストケース'!C79="","",'04_テストケース'!C79)</x:f>
      </x:c>
      <x:c r="C79" t="str">
        <x:f>IF('04_テストケース'!H79="","",'04_テストケース'!H79)</x:f>
      </x:c>
      <x:c r="D79" t="str">
        <x:f>IF('04_テストケース'!P79="","",'04_テストケース'!P79)</x:f>
      </x:c>
      <x:c r="H79" t="str">
        <x:f>IF('04_テストケース'!Q79="","",'04_テストケース'!Q79)</x:f>
      </x:c>
    </x:row>
    <x:row r="80">
      <x:c r="A80" t="str">
        <x:f>IF('04_テストケース'!A80="","",'04_テストケース'!A80)</x:f>
      </x:c>
      <x:c r="B80" t="str">
        <x:f>IF('04_テストケース'!C80="","",'04_テストケース'!C80)</x:f>
      </x:c>
      <x:c r="C80" t="str">
        <x:f>IF('04_テストケース'!H80="","",'04_テストケース'!H80)</x:f>
      </x:c>
      <x:c r="D80" t="str">
        <x:f>IF('04_テストケース'!P80="","",'04_テストケース'!P80)</x:f>
      </x:c>
      <x:c r="H80" t="str">
        <x:f>IF('04_テストケース'!Q80="","",'04_テストケース'!Q80)</x:f>
      </x:c>
    </x:row>
    <x:row r="81">
      <x:c r="A81" t="str">
        <x:f>IF('04_テストケース'!A81="","",'04_テストケース'!A81)</x:f>
      </x:c>
      <x:c r="B81" t="str">
        <x:f>IF('04_テストケース'!C81="","",'04_テストケース'!C81)</x:f>
      </x:c>
      <x:c r="C81" t="str">
        <x:f>IF('04_テストケース'!H81="","",'04_テストケース'!H81)</x:f>
      </x:c>
      <x:c r="D81" t="str">
        <x:f>IF('04_テストケース'!P81="","",'04_テストケース'!P81)</x:f>
      </x:c>
      <x:c r="H81" t="str">
        <x:f>IF('04_テストケース'!Q81="","",'04_テストケース'!Q81)</x:f>
      </x:c>
    </x:row>
    <x:row r="82">
      <x:c r="A82" t="str">
        <x:f>IF('04_テストケース'!A82="","",'04_テストケース'!A82)</x:f>
      </x:c>
      <x:c r="B82" t="str">
        <x:f>IF('04_テストケース'!C82="","",'04_テストケース'!C82)</x:f>
      </x:c>
      <x:c r="C82" t="str">
        <x:f>IF('04_テストケース'!H82="","",'04_テストケース'!H82)</x:f>
      </x:c>
      <x:c r="D82" t="str">
        <x:f>IF('04_テストケース'!P82="","",'04_テストケース'!P82)</x:f>
      </x:c>
      <x:c r="H82" t="str">
        <x:f>IF('04_テストケース'!Q82="","",'04_テストケース'!Q82)</x:f>
      </x:c>
    </x:row>
    <x:row r="83">
      <x:c r="A83" t="str">
        <x:f>IF('04_テストケース'!A83="","",'04_テストケース'!A83)</x:f>
      </x:c>
      <x:c r="B83" t="str">
        <x:f>IF('04_テストケース'!C83="","",'04_テストケース'!C83)</x:f>
      </x:c>
      <x:c r="C83" t="str">
        <x:f>IF('04_テストケース'!H83="","",'04_テストケース'!H83)</x:f>
      </x:c>
      <x:c r="D83" t="str">
        <x:f>IF('04_テストケース'!P83="","",'04_テストケース'!P83)</x:f>
      </x:c>
      <x:c r="H83" t="str">
        <x:f>IF('04_テストケース'!Q83="","",'04_テストケース'!Q83)</x:f>
      </x:c>
    </x:row>
    <x:row r="84">
      <x:c r="A84" t="str">
        <x:f>IF('04_テストケース'!A84="","",'04_テストケース'!A84)</x:f>
      </x:c>
      <x:c r="B84" t="str">
        <x:f>IF('04_テストケース'!C84="","",'04_テストケース'!C84)</x:f>
      </x:c>
      <x:c r="C84" t="str">
        <x:f>IF('04_テストケース'!H84="","",'04_テストケース'!H84)</x:f>
      </x:c>
      <x:c r="D84" t="str">
        <x:f>IF('04_テストケース'!P84="","",'04_テストケース'!P84)</x:f>
      </x:c>
      <x:c r="H84" t="str">
        <x:f>IF('04_テストケース'!Q84="","",'04_テストケース'!Q84)</x:f>
      </x:c>
    </x:row>
    <x:row r="85">
      <x:c r="A85" t="str">
        <x:f>IF('04_テストケース'!A85="","",'04_テストケース'!A85)</x:f>
      </x:c>
      <x:c r="B85" t="str">
        <x:f>IF('04_テストケース'!C85="","",'04_テストケース'!C85)</x:f>
      </x:c>
      <x:c r="C85" t="str">
        <x:f>IF('04_テストケース'!H85="","",'04_テストケース'!H85)</x:f>
      </x:c>
      <x:c r="D85" t="str">
        <x:f>IF('04_テストケース'!P85="","",'04_テストケース'!P85)</x:f>
      </x:c>
      <x:c r="H85" t="str">
        <x:f>IF('04_テストケース'!Q85="","",'04_テストケース'!Q85)</x:f>
      </x:c>
    </x:row>
    <x:row r="86">
      <x:c r="A86" t="str">
        <x:f>IF('04_テストケース'!A86="","",'04_テストケース'!A86)</x:f>
      </x:c>
      <x:c r="B86" t="str">
        <x:f>IF('04_テストケース'!C86="","",'04_テストケース'!C86)</x:f>
      </x:c>
      <x:c r="C86" t="str">
        <x:f>IF('04_テストケース'!H86="","",'04_テストケース'!H86)</x:f>
      </x:c>
      <x:c r="D86" t="str">
        <x:f>IF('04_テストケース'!P86="","",'04_テストケース'!P86)</x:f>
      </x:c>
      <x:c r="H86" t="str">
        <x:f>IF('04_テストケース'!Q86="","",'04_テストケース'!Q86)</x:f>
      </x:c>
    </x:row>
    <x:row r="87">
      <x:c r="A87" t="str">
        <x:f>IF('04_テストケース'!A87="","",'04_テストケース'!A87)</x:f>
      </x:c>
      <x:c r="B87" t="str">
        <x:f>IF('04_テストケース'!C87="","",'04_テストケース'!C87)</x:f>
      </x:c>
      <x:c r="C87" t="str">
        <x:f>IF('04_テストケース'!H87="","",'04_テストケース'!H87)</x:f>
      </x:c>
      <x:c r="D87" t="str">
        <x:f>IF('04_テストケース'!P87="","",'04_テストケース'!P87)</x:f>
      </x:c>
      <x:c r="H87" t="str">
        <x:f>IF('04_テストケース'!Q87="","",'04_テストケース'!Q87)</x:f>
      </x:c>
    </x:row>
    <x:row r="88">
      <x:c r="A88" t="str">
        <x:f>IF('04_テストケース'!A88="","",'04_テストケース'!A88)</x:f>
      </x:c>
      <x:c r="B88" t="str">
        <x:f>IF('04_テストケース'!C88="","",'04_テストケース'!C88)</x:f>
      </x:c>
      <x:c r="C88" t="str">
        <x:f>IF('04_テストケース'!H88="","",'04_テストケース'!H88)</x:f>
      </x:c>
      <x:c r="D88" t="str">
        <x:f>IF('04_テストケース'!P88="","",'04_テストケース'!P88)</x:f>
      </x:c>
      <x:c r="H88" t="str">
        <x:f>IF('04_テストケース'!Q88="","",'04_テストケース'!Q88)</x:f>
      </x:c>
    </x:row>
    <x:row r="89">
      <x:c r="A89" t="str">
        <x:f>IF('04_テストケース'!A89="","",'04_テストケース'!A89)</x:f>
      </x:c>
      <x:c r="B89" t="str">
        <x:f>IF('04_テストケース'!C89="","",'04_テストケース'!C89)</x:f>
      </x:c>
      <x:c r="C89" t="str">
        <x:f>IF('04_テストケース'!H89="","",'04_テストケース'!H89)</x:f>
      </x:c>
      <x:c r="D89" t="str">
        <x:f>IF('04_テストケース'!P89="","",'04_テストケース'!P89)</x:f>
      </x:c>
      <x:c r="H89" t="str">
        <x:f>IF('04_テストケース'!Q89="","",'04_テストケース'!Q89)</x:f>
      </x:c>
    </x:row>
    <x:row r="90">
      <x:c r="A90" t="str">
        <x:f>IF('04_テストケース'!A90="","",'04_テストケース'!A90)</x:f>
      </x:c>
      <x:c r="B90" t="str">
        <x:f>IF('04_テストケース'!C90="","",'04_テストケース'!C90)</x:f>
      </x:c>
      <x:c r="C90" t="str">
        <x:f>IF('04_テストケース'!H90="","",'04_テストケース'!H90)</x:f>
      </x:c>
      <x:c r="D90" t="str">
        <x:f>IF('04_テストケース'!P90="","",'04_テストケース'!P90)</x:f>
      </x:c>
      <x:c r="H90" t="str">
        <x:f>IF('04_テストケース'!Q90="","",'04_テストケース'!Q90)</x:f>
      </x:c>
    </x:row>
    <x:row r="91">
      <x:c r="A91" t="str">
        <x:f>IF('04_テストケース'!A91="","",'04_テストケース'!A91)</x:f>
      </x:c>
      <x:c r="B91" t="str">
        <x:f>IF('04_テストケース'!C91="","",'04_テストケース'!C91)</x:f>
      </x:c>
      <x:c r="C91" t="str">
        <x:f>IF('04_テストケース'!H91="","",'04_テストケース'!H91)</x:f>
      </x:c>
      <x:c r="D91" t="str">
        <x:f>IF('04_テストケース'!P91="","",'04_テストケース'!P91)</x:f>
      </x:c>
      <x:c r="H91" t="str">
        <x:f>IF('04_テストケース'!Q91="","",'04_テストケース'!Q91)</x:f>
      </x:c>
    </x:row>
    <x:row r="92">
      <x:c r="A92" t="str">
        <x:f>IF('04_テストケース'!A92="","",'04_テストケース'!A92)</x:f>
      </x:c>
      <x:c r="B92" t="str">
        <x:f>IF('04_テストケース'!C92="","",'04_テストケース'!C92)</x:f>
      </x:c>
      <x:c r="C92" t="str">
        <x:f>IF('04_テストケース'!H92="","",'04_テストケース'!H92)</x:f>
      </x:c>
      <x:c r="D92" t="str">
        <x:f>IF('04_テストケース'!P92="","",'04_テストケース'!P92)</x:f>
      </x:c>
      <x:c r="H92" t="str">
        <x:f>IF('04_テストケース'!Q92="","",'04_テストケース'!Q92)</x:f>
      </x:c>
    </x:row>
    <x:row r="93">
      <x:c r="A93" t="str">
        <x:f>IF('04_テストケース'!A93="","",'04_テストケース'!A93)</x:f>
      </x:c>
      <x:c r="B93" t="str">
        <x:f>IF('04_テストケース'!C93="","",'04_テストケース'!C93)</x:f>
      </x:c>
      <x:c r="C93" t="str">
        <x:f>IF('04_テストケース'!H93="","",'04_テストケース'!H93)</x:f>
      </x:c>
      <x:c r="D93" t="str">
        <x:f>IF('04_テストケース'!P93="","",'04_テストケース'!P93)</x:f>
      </x:c>
      <x:c r="H93" t="str">
        <x:f>IF('04_テストケース'!Q93="","",'04_テストケース'!Q93)</x:f>
      </x:c>
    </x:row>
    <x:row r="94">
      <x:c r="A94" t="str">
        <x:f>IF('04_テストケース'!A94="","",'04_テストケース'!A94)</x:f>
      </x:c>
      <x:c r="B94" t="str">
        <x:f>IF('04_テストケース'!C94="","",'04_テストケース'!C94)</x:f>
      </x:c>
      <x:c r="C94" t="str">
        <x:f>IF('04_テストケース'!H94="","",'04_テストケース'!H94)</x:f>
      </x:c>
      <x:c r="D94" t="str">
        <x:f>IF('04_テストケース'!P94="","",'04_テストケース'!P94)</x:f>
      </x:c>
      <x:c r="H94" t="str">
        <x:f>IF('04_テストケース'!Q94="","",'04_テストケース'!Q94)</x:f>
      </x:c>
    </x:row>
    <x:row r="95">
      <x:c r="A95" t="str">
        <x:f>IF('04_テストケース'!A95="","",'04_テストケース'!A95)</x:f>
      </x:c>
      <x:c r="B95" t="str">
        <x:f>IF('04_テストケース'!C95="","",'04_テストケース'!C95)</x:f>
      </x:c>
      <x:c r="C95" t="str">
        <x:f>IF('04_テストケース'!H95="","",'04_テストケース'!H95)</x:f>
      </x:c>
      <x:c r="D95" t="str">
        <x:f>IF('04_テストケース'!P95="","",'04_テストケース'!P95)</x:f>
      </x:c>
      <x:c r="H95" t="str">
        <x:f>IF('04_テストケース'!Q95="","",'04_テストケース'!Q95)</x:f>
      </x:c>
    </x:row>
    <x:row r="96">
      <x:c r="A96" t="str">
        <x:f>IF('04_テストケース'!A96="","",'04_テストケース'!A96)</x:f>
      </x:c>
      <x:c r="B96" t="str">
        <x:f>IF('04_テストケース'!C96="","",'04_テストケース'!C96)</x:f>
      </x:c>
      <x:c r="C96" t="str">
        <x:f>IF('04_テストケース'!H96="","",'04_テストケース'!H96)</x:f>
      </x:c>
      <x:c r="D96" t="str">
        <x:f>IF('04_テストケース'!P96="","",'04_テストケース'!P96)</x:f>
      </x:c>
      <x:c r="H96" t="str">
        <x:f>IF('04_テストケース'!Q96="","",'04_テストケース'!Q96)</x:f>
      </x:c>
    </x:row>
    <x:row r="97">
      <x:c r="A97" t="str">
        <x:f>IF('04_テストケース'!A97="","",'04_テストケース'!A97)</x:f>
      </x:c>
      <x:c r="B97" t="str">
        <x:f>IF('04_テストケース'!C97="","",'04_テストケース'!C97)</x:f>
      </x:c>
      <x:c r="C97" t="str">
        <x:f>IF('04_テストケース'!H97="","",'04_テストケース'!H97)</x:f>
      </x:c>
      <x:c r="D97" t="str">
        <x:f>IF('04_テストケース'!P97="","",'04_テストケース'!P97)</x:f>
      </x:c>
      <x:c r="H97" t="str">
        <x:f>IF('04_テストケース'!Q97="","",'04_テストケース'!Q97)</x:f>
      </x:c>
    </x:row>
    <x:row r="98">
      <x:c r="A98" t="str">
        <x:f>IF('04_テストケース'!A98="","",'04_テストケース'!A98)</x:f>
      </x:c>
      <x:c r="B98" t="str">
        <x:f>IF('04_テストケース'!C98="","",'04_テストケース'!C98)</x:f>
      </x:c>
      <x:c r="C98" t="str">
        <x:f>IF('04_テストケース'!H98="","",'04_テストケース'!H98)</x:f>
      </x:c>
      <x:c r="D98" t="str">
        <x:f>IF('04_テストケース'!P98="","",'04_テストケース'!P98)</x:f>
      </x:c>
      <x:c r="H98" t="str">
        <x:f>IF('04_テストケース'!Q98="","",'04_テストケース'!Q98)</x:f>
      </x:c>
    </x:row>
    <x:row r="99">
      <x:c r="A99" t="str">
        <x:f>IF('04_テストケース'!A99="","",'04_テストケース'!A99)</x:f>
      </x:c>
      <x:c r="B99" t="str">
        <x:f>IF('04_テストケース'!C99="","",'04_テストケース'!C99)</x:f>
      </x:c>
      <x:c r="C99" t="str">
        <x:f>IF('04_テストケース'!H99="","",'04_テストケース'!H99)</x:f>
      </x:c>
      <x:c r="D99" t="str">
        <x:f>IF('04_テストケース'!P99="","",'04_テストケース'!P99)</x:f>
      </x:c>
      <x:c r="H99" t="str">
        <x:f>IF('04_テストケース'!Q99="","",'04_テストケース'!Q99)</x:f>
      </x:c>
    </x:row>
    <x:row r="100">
      <x:c r="A100" t="str">
        <x:f>IF('04_テストケース'!A100="","",'04_テストケース'!A100)</x:f>
      </x:c>
      <x:c r="B100" t="str">
        <x:f>IF('04_テストケース'!C100="","",'04_テストケース'!C100)</x:f>
      </x:c>
      <x:c r="C100" t="str">
        <x:f>IF('04_テストケース'!H100="","",'04_テストケース'!H100)</x:f>
      </x:c>
      <x:c r="D100" t="str">
        <x:f>IF('04_テストケース'!P100="","",'04_テストケース'!P100)</x:f>
      </x:c>
      <x:c r="H100" t="str">
        <x:f>IF('04_テストケース'!Q100="","",'04_テストケース'!Q100)</x:f>
      </x:c>
    </x:row>
    <x:row r="101">
      <x:c r="A101" t="str">
        <x:f>IF('04_テストケース'!A101="","",'04_テストケース'!A101)</x:f>
      </x:c>
      <x:c r="B101" t="str">
        <x:f>IF('04_テストケース'!C101="","",'04_テストケース'!C101)</x:f>
      </x:c>
      <x:c r="C101" t="str">
        <x:f>IF('04_テストケース'!H101="","",'04_テストケース'!H101)</x:f>
      </x:c>
      <x:c r="D101" t="str">
        <x:f>IF('04_テストケース'!P101="","",'04_テストケース'!P101)</x:f>
      </x:c>
      <x:c r="H101" t="str">
        <x:f>IF('04_テストケース'!Q101="","",'04_テストケース'!Q101)</x:f>
      </x:c>
    </x:row>
    <x:row r="102">
      <x:c r="A102" t="str">
        <x:f>IF('04_テストケース'!A102="","",'04_テストケース'!A102)</x:f>
      </x:c>
      <x:c r="B102" t="str">
        <x:f>IF('04_テストケース'!C102="","",'04_テストケース'!C102)</x:f>
      </x:c>
      <x:c r="C102" t="str">
        <x:f>IF('04_テストケース'!H102="","",'04_テストケース'!H102)</x:f>
      </x:c>
      <x:c r="D102" t="str">
        <x:f>IF('04_テストケース'!P102="","",'04_テストケース'!P102)</x:f>
      </x:c>
      <x:c r="H102" t="str">
        <x:f>IF('04_テストケース'!Q102="","",'04_テストケース'!Q102)</x:f>
      </x:c>
    </x:row>
    <x:row r="103">
      <x:c r="A103" t="str">
        <x:f>IF('04_テストケース'!A103="","",'04_テストケース'!A103)</x:f>
      </x:c>
      <x:c r="B103" t="str">
        <x:f>IF('04_テストケース'!C103="","",'04_テストケース'!C103)</x:f>
      </x:c>
      <x:c r="C103" t="str">
        <x:f>IF('04_テストケース'!H103="","",'04_テストケース'!H103)</x:f>
      </x:c>
      <x:c r="D103" t="str">
        <x:f>IF('04_テストケース'!P103="","",'04_テストケース'!P103)</x:f>
      </x:c>
      <x:c r="H103" t="str">
        <x:f>IF('04_テストケース'!Q103="","",'04_テストケース'!Q103)</x:f>
      </x:c>
    </x:row>
    <x:row r="104">
      <x:c r="A104" t="str">
        <x:f>IF('04_テストケース'!A104="","",'04_テストケース'!A104)</x:f>
      </x:c>
      <x:c r="B104" t="str">
        <x:f>IF('04_テストケース'!C104="","",'04_テストケース'!C104)</x:f>
      </x:c>
      <x:c r="C104" t="str">
        <x:f>IF('04_テストケース'!H104="","",'04_テストケース'!H104)</x:f>
      </x:c>
      <x:c r="D104" t="str">
        <x:f>IF('04_テストケース'!P104="","",'04_テストケース'!P104)</x:f>
      </x:c>
      <x:c r="H104" t="str">
        <x:f>IF('04_テストケース'!Q104="","",'04_テストケース'!Q104)</x:f>
      </x:c>
    </x:row>
    <x:row r="105">
      <x:c r="A105" t="str">
        <x:f>IF('04_テストケース'!A105="","",'04_テストケース'!A105)</x:f>
      </x:c>
      <x:c r="B105" t="str">
        <x:f>IF('04_テストケース'!C105="","",'04_テストケース'!C105)</x:f>
      </x:c>
      <x:c r="C105" t="str">
        <x:f>IF('04_テストケース'!H105="","",'04_テストケース'!H105)</x:f>
      </x:c>
      <x:c r="D105" t="str">
        <x:f>IF('04_テストケース'!P105="","",'04_テストケース'!P105)</x:f>
      </x:c>
      <x:c r="H105" t="str">
        <x:f>IF('04_テストケース'!Q105="","",'04_テストケース'!Q105)</x:f>
      </x:c>
    </x:row>
    <x:row r="106">
      <x:c r="A106" t="str">
        <x:f>IF('04_テストケース'!A106="","",'04_テストケース'!A106)</x:f>
      </x:c>
      <x:c r="B106" t="str">
        <x:f>IF('04_テストケース'!C106="","",'04_テストケース'!C106)</x:f>
      </x:c>
      <x:c r="C106" t="str">
        <x:f>IF('04_テストケース'!H106="","",'04_テストケース'!H106)</x:f>
      </x:c>
      <x:c r="D106" t="str">
        <x:f>IF('04_テストケース'!P106="","",'04_テストケース'!P106)</x:f>
      </x:c>
      <x:c r="H106" t="str">
        <x:f>IF('04_テストケース'!Q106="","",'04_テストケース'!Q106)</x:f>
      </x:c>
    </x:row>
    <x:row r="107">
      <x:c r="A107" t="str">
        <x:f>IF('04_テストケース'!A107="","",'04_テストケース'!A107)</x:f>
      </x:c>
      <x:c r="B107" t="str">
        <x:f>IF('04_テストケース'!C107="","",'04_テストケース'!C107)</x:f>
      </x:c>
      <x:c r="C107" t="str">
        <x:f>IF('04_テストケース'!H107="","",'04_テストケース'!H107)</x:f>
      </x:c>
      <x:c r="D107" t="str">
        <x:f>IF('04_テストケース'!P107="","",'04_テストケース'!P107)</x:f>
      </x:c>
      <x:c r="H107" t="str">
        <x:f>IF('04_テストケース'!Q107="","",'04_テストケース'!Q107)</x:f>
      </x:c>
    </x:row>
    <x:row r="108">
      <x:c r="A108" t="str">
        <x:f>IF('04_テストケース'!A108="","",'04_テストケース'!A108)</x:f>
      </x:c>
      <x:c r="B108" t="str">
        <x:f>IF('04_テストケース'!C108="","",'04_テストケース'!C108)</x:f>
      </x:c>
      <x:c r="C108" t="str">
        <x:f>IF('04_テストケース'!H108="","",'04_テストケース'!H108)</x:f>
      </x:c>
      <x:c r="D108" t="str">
        <x:f>IF('04_テストケース'!P108="","",'04_テストケース'!P108)</x:f>
      </x:c>
      <x:c r="H108" t="str">
        <x:f>IF('04_テストケース'!Q108="","",'04_テストケース'!Q108)</x:f>
      </x:c>
    </x:row>
    <x:row r="109">
      <x:c r="A109" t="str">
        <x:f>IF('04_テストケース'!A109="","",'04_テストケース'!A109)</x:f>
      </x:c>
      <x:c r="B109" t="str">
        <x:f>IF('04_テストケース'!C109="","",'04_テストケース'!C109)</x:f>
      </x:c>
      <x:c r="C109" t="str">
        <x:f>IF('04_テストケース'!H109="","",'04_テストケース'!H109)</x:f>
      </x:c>
      <x:c r="D109" t="str">
        <x:f>IF('04_テストケース'!P109="","",'04_テストケース'!P109)</x:f>
      </x:c>
      <x:c r="H109" t="str">
        <x:f>IF('04_テストケース'!Q109="","",'04_テストケース'!Q109)</x:f>
      </x:c>
    </x:row>
    <x:row r="110">
      <x:c r="A110" t="str">
        <x:f>IF('04_テストケース'!A110="","",'04_テストケース'!A110)</x:f>
      </x:c>
      <x:c r="B110" t="str">
        <x:f>IF('04_テストケース'!C110="","",'04_テストケース'!C110)</x:f>
      </x:c>
      <x:c r="C110" t="str">
        <x:f>IF('04_テストケース'!H110="","",'04_テストケース'!H110)</x:f>
      </x:c>
      <x:c r="D110" t="str">
        <x:f>IF('04_テストケース'!P110="","",'04_テストケース'!P110)</x:f>
      </x:c>
      <x:c r="H110" t="str">
        <x:f>IF('04_テストケース'!Q110="","",'04_テストケース'!Q110)</x:f>
      </x:c>
    </x:row>
    <x:row r="111">
      <x:c r="A111" t="str">
        <x:f>IF('04_テストケース'!A111="","",'04_テストケース'!A111)</x:f>
      </x:c>
      <x:c r="B111" t="str">
        <x:f>IF('04_テストケース'!C111="","",'04_テストケース'!C111)</x:f>
      </x:c>
      <x:c r="C111" t="str">
        <x:f>IF('04_テストケース'!H111="","",'04_テストケース'!H111)</x:f>
      </x:c>
      <x:c r="D111" t="str">
        <x:f>IF('04_テストケース'!P111="","",'04_テストケース'!P111)</x:f>
      </x:c>
      <x:c r="H111" t="str">
        <x:f>IF('04_テストケース'!Q111="","",'04_テストケース'!Q111)</x:f>
      </x:c>
    </x:row>
    <x:row r="112">
      <x:c r="A112" t="str">
        <x:f>IF('04_テストケース'!A112="","",'04_テストケース'!A112)</x:f>
      </x:c>
      <x:c r="B112" t="str">
        <x:f>IF('04_テストケース'!C112="","",'04_テストケース'!C112)</x:f>
      </x:c>
      <x:c r="C112" t="str">
        <x:f>IF('04_テストケース'!H112="","",'04_テストケース'!H112)</x:f>
      </x:c>
      <x:c r="D112" t="str">
        <x:f>IF('04_テストケース'!P112="","",'04_テストケース'!P112)</x:f>
      </x:c>
      <x:c r="H112" t="str">
        <x:f>IF('04_テストケース'!Q112="","",'04_テストケース'!Q112)</x:f>
      </x:c>
    </x:row>
    <x:row r="113">
      <x:c r="A113" t="str">
        <x:f>IF('04_テストケース'!A113="","",'04_テストケース'!A113)</x:f>
      </x:c>
      <x:c r="B113" t="str">
        <x:f>IF('04_テストケース'!C113="","",'04_テストケース'!C113)</x:f>
      </x:c>
      <x:c r="C113" t="str">
        <x:f>IF('04_テストケース'!H113="","",'04_テストケース'!H113)</x:f>
      </x:c>
      <x:c r="D113" t="str">
        <x:f>IF('04_テストケース'!P113="","",'04_テストケース'!P113)</x:f>
      </x:c>
      <x:c r="H113" t="str">
        <x:f>IF('04_テストケース'!Q113="","",'04_テストケース'!Q113)</x:f>
      </x:c>
    </x:row>
    <x:row r="114">
      <x:c r="A114" t="str">
        <x:f>IF('04_テストケース'!A114="","",'04_テストケース'!A114)</x:f>
      </x:c>
      <x:c r="B114" t="str">
        <x:f>IF('04_テストケース'!C114="","",'04_テストケース'!C114)</x:f>
      </x:c>
      <x:c r="C114" t="str">
        <x:f>IF('04_テストケース'!H114="","",'04_テストケース'!H114)</x:f>
      </x:c>
      <x:c r="D114" t="str">
        <x:f>IF('04_テストケース'!P114="","",'04_テストケース'!P114)</x:f>
      </x:c>
      <x:c r="H114" t="str">
        <x:f>IF('04_テストケース'!Q114="","",'04_テストケース'!Q114)</x:f>
      </x:c>
    </x:row>
    <x:row r="115">
      <x:c r="A115" t="str">
        <x:f>IF('04_テストケース'!A115="","",'04_テストケース'!A115)</x:f>
      </x:c>
      <x:c r="B115" t="str">
        <x:f>IF('04_テストケース'!C115="","",'04_テストケース'!C115)</x:f>
      </x:c>
      <x:c r="C115" t="str">
        <x:f>IF('04_テストケース'!H115="","",'04_テストケース'!H115)</x:f>
      </x:c>
      <x:c r="D115" t="str">
        <x:f>IF('04_テストケース'!P115="","",'04_テストケース'!P115)</x:f>
      </x:c>
      <x:c r="H115" t="str">
        <x:f>IF('04_テストケース'!Q115="","",'04_テストケース'!Q115)</x:f>
      </x:c>
    </x:row>
    <x:row r="116">
      <x:c r="A116" t="str">
        <x:f>IF('04_テストケース'!A116="","",'04_テストケース'!A116)</x:f>
      </x:c>
      <x:c r="B116" t="str">
        <x:f>IF('04_テストケース'!C116="","",'04_テストケース'!C116)</x:f>
      </x:c>
      <x:c r="C116" t="str">
        <x:f>IF('04_テストケース'!H116="","",'04_テストケース'!H116)</x:f>
      </x:c>
      <x:c r="D116" t="str">
        <x:f>IF('04_テストケース'!P116="","",'04_テストケース'!P116)</x:f>
      </x:c>
      <x:c r="H116" t="str">
        <x:f>IF('04_テストケース'!Q116="","",'04_テストケース'!Q116)</x:f>
      </x:c>
    </x:row>
    <x:row r="117">
      <x:c r="A117" t="str">
        <x:f>IF('04_テストケース'!A117="","",'04_テストケース'!A117)</x:f>
      </x:c>
      <x:c r="B117" t="str">
        <x:f>IF('04_テストケース'!C117="","",'04_テストケース'!C117)</x:f>
      </x:c>
      <x:c r="C117" t="str">
        <x:f>IF('04_テストケース'!H117="","",'04_テストケース'!H117)</x:f>
      </x:c>
      <x:c r="D117" t="str">
        <x:f>IF('04_テストケース'!P117="","",'04_テストケース'!P117)</x:f>
      </x:c>
      <x:c r="H117" t="str">
        <x:f>IF('04_テストケース'!Q117="","",'04_テストケース'!Q117)</x:f>
      </x:c>
    </x:row>
    <x:row r="118">
      <x:c r="A118" t="str">
        <x:f>IF('04_テストケース'!A118="","",'04_テストケース'!A118)</x:f>
      </x:c>
      <x:c r="B118" t="str">
        <x:f>IF('04_テストケース'!C118="","",'04_テストケース'!C118)</x:f>
      </x:c>
      <x:c r="C118" t="str">
        <x:f>IF('04_テストケース'!H118="","",'04_テストケース'!H118)</x:f>
      </x:c>
      <x:c r="D118" t="str">
        <x:f>IF('04_テストケース'!P118="","",'04_テストケース'!P118)</x:f>
      </x:c>
      <x:c r="H118" t="str">
        <x:f>IF('04_テストケース'!Q118="","",'04_テストケース'!Q118)</x:f>
      </x:c>
    </x:row>
    <x:row r="119">
      <x:c r="A119" t="str">
        <x:f>IF('04_テストケース'!A119="","",'04_テストケース'!A119)</x:f>
      </x:c>
      <x:c r="B119" t="str">
        <x:f>IF('04_テストケース'!C119="","",'04_テストケース'!C119)</x:f>
      </x:c>
      <x:c r="C119" t="str">
        <x:f>IF('04_テストケース'!H119="","",'04_テストケース'!H119)</x:f>
      </x:c>
      <x:c r="D119" t="str">
        <x:f>IF('04_テストケース'!P119="","",'04_テストケース'!P119)</x:f>
      </x:c>
      <x:c r="H119" t="str">
        <x:f>IF('04_テストケース'!Q119="","",'04_テストケース'!Q119)</x:f>
      </x:c>
    </x:row>
    <x:row r="120">
      <x:c r="A120" t="str">
        <x:f>IF('04_テストケース'!A120="","",'04_テストケース'!A120)</x:f>
      </x:c>
      <x:c r="B120" t="str">
        <x:f>IF('04_テストケース'!C120="","",'04_テストケース'!C120)</x:f>
      </x:c>
      <x:c r="C120" t="str">
        <x:f>IF('04_テストケース'!H120="","",'04_テストケース'!H120)</x:f>
      </x:c>
      <x:c r="D120" t="str">
        <x:f>IF('04_テストケース'!P120="","",'04_テストケース'!P120)</x:f>
      </x:c>
      <x:c r="H120" t="str">
        <x:f>IF('04_テストケース'!Q120="","",'04_テストケース'!Q120)</x:f>
      </x:c>
    </x:row>
    <x:row r="121">
      <x:c r="A121" t="str">
        <x:f>IF('04_テストケース'!A121="","",'04_テストケース'!A121)</x:f>
      </x:c>
      <x:c r="B121" t="str">
        <x:f>IF('04_テストケース'!C121="","",'04_テストケース'!C121)</x:f>
      </x:c>
      <x:c r="C121" t="str">
        <x:f>IF('04_テストケース'!H121="","",'04_テストケース'!H121)</x:f>
      </x:c>
      <x:c r="D121" t="str">
        <x:f>IF('04_テストケース'!P121="","",'04_テストケース'!P121)</x:f>
      </x:c>
      <x:c r="H121" t="str">
        <x:f>IF('04_テストケース'!Q121="","",'04_テストケース'!Q121)</x:f>
      </x:c>
    </x:row>
    <x:row r="122">
      <x:c r="A122" t="str">
        <x:f>IF('04_テストケース'!A122="","",'04_テストケース'!A122)</x:f>
      </x:c>
      <x:c r="B122" t="str">
        <x:f>IF('04_テストケース'!C122="","",'04_テストケース'!C122)</x:f>
      </x:c>
      <x:c r="C122" t="str">
        <x:f>IF('04_テストケース'!H122="","",'04_テストケース'!H122)</x:f>
      </x:c>
      <x:c r="D122" t="str">
        <x:f>IF('04_テストケース'!P122="","",'04_テストケース'!P122)</x:f>
      </x:c>
      <x:c r="H122" t="str">
        <x:f>IF('04_テストケース'!Q122="","",'04_テストケース'!Q122)</x:f>
      </x:c>
    </x:row>
    <x:row r="123">
      <x:c r="A123" t="str">
        <x:f>IF('04_テストケース'!A123="","",'04_テストケース'!A123)</x:f>
      </x:c>
      <x:c r="B123" t="str">
        <x:f>IF('04_テストケース'!C123="","",'04_テストケース'!C123)</x:f>
      </x:c>
      <x:c r="C123" t="str">
        <x:f>IF('04_テストケース'!H123="","",'04_テストケース'!H123)</x:f>
      </x:c>
      <x:c r="D123" t="str">
        <x:f>IF('04_テストケース'!P123="","",'04_テストケース'!P123)</x:f>
      </x:c>
      <x:c r="H123" t="str">
        <x:f>IF('04_テストケース'!Q123="","",'04_テストケース'!Q123)</x:f>
      </x:c>
    </x:row>
    <x:row r="124">
      <x:c r="A124" t="str">
        <x:f>IF('04_テストケース'!A124="","",'04_テストケース'!A124)</x:f>
      </x:c>
      <x:c r="B124" t="str">
        <x:f>IF('04_テストケース'!C124="","",'04_テストケース'!C124)</x:f>
      </x:c>
      <x:c r="C124" t="str">
        <x:f>IF('04_テストケース'!H124="","",'04_テストケース'!H124)</x:f>
      </x:c>
      <x:c r="D124" t="str">
        <x:f>IF('04_テストケース'!P124="","",'04_テストケース'!P124)</x:f>
      </x:c>
      <x:c r="H124" t="str">
        <x:f>IF('04_テストケース'!Q124="","",'04_テストケース'!Q124)</x:f>
      </x:c>
    </x:row>
    <x:row r="125">
      <x:c r="A125" t="str">
        <x:f>IF('04_テストケース'!A125="","",'04_テストケース'!A125)</x:f>
      </x:c>
      <x:c r="B125" t="str">
        <x:f>IF('04_テストケース'!C125="","",'04_テストケース'!C125)</x:f>
      </x:c>
      <x:c r="C125" t="str">
        <x:f>IF('04_テストケース'!H125="","",'04_テストケース'!H125)</x:f>
      </x:c>
      <x:c r="D125" t="str">
        <x:f>IF('04_テストケース'!P125="","",'04_テストケース'!P125)</x:f>
      </x:c>
      <x:c r="H125" t="str">
        <x:f>IF('04_テストケース'!Q125="","",'04_テストケース'!Q125)</x:f>
      </x:c>
    </x:row>
    <x:row r="126">
      <x:c r="A126" t="str">
        <x:f>IF('04_テストケース'!A126="","",'04_テストケース'!A126)</x:f>
      </x:c>
      <x:c r="B126" t="str">
        <x:f>IF('04_テストケース'!C126="","",'04_テストケース'!C126)</x:f>
      </x:c>
      <x:c r="C126" t="str">
        <x:f>IF('04_テストケース'!H126="","",'04_テストケース'!H126)</x:f>
      </x:c>
      <x:c r="D126" t="str">
        <x:f>IF('04_テストケース'!P126="","",'04_テストケース'!P126)</x:f>
      </x:c>
      <x:c r="H126" t="str">
        <x:f>IF('04_テストケース'!Q126="","",'04_テストケース'!Q126)</x:f>
      </x:c>
    </x:row>
    <x:row r="127">
      <x:c r="A127" t="str">
        <x:f>IF('04_テストケース'!A127="","",'04_テストケース'!A127)</x:f>
      </x:c>
      <x:c r="B127" t="str">
        <x:f>IF('04_テストケース'!C127="","",'04_テストケース'!C127)</x:f>
      </x:c>
      <x:c r="C127" t="str">
        <x:f>IF('04_テストケース'!H127="","",'04_テストケース'!H127)</x:f>
      </x:c>
      <x:c r="D127" t="str">
        <x:f>IF('04_テストケース'!P127="","",'04_テストケース'!P127)</x:f>
      </x:c>
      <x:c r="H127" t="str">
        <x:f>IF('04_テストケース'!Q127="","",'04_テストケース'!Q127)</x:f>
      </x:c>
    </x:row>
    <x:row r="128">
      <x:c r="A128" t="str">
        <x:f>IF('04_テストケース'!A128="","",'04_テストケース'!A128)</x:f>
      </x:c>
      <x:c r="B128" t="str">
        <x:f>IF('04_テストケース'!C128="","",'04_テストケース'!C128)</x:f>
      </x:c>
      <x:c r="C128" t="str">
        <x:f>IF('04_テストケース'!H128="","",'04_テストケース'!H128)</x:f>
      </x:c>
      <x:c r="D128" t="str">
        <x:f>IF('04_テストケース'!P128="","",'04_テストケース'!P128)</x:f>
      </x:c>
      <x:c r="H128" t="str">
        <x:f>IF('04_テストケース'!Q128="","",'04_テストケース'!Q128)</x:f>
      </x:c>
    </x:row>
    <x:row r="129">
      <x:c r="A129" t="str">
        <x:f>IF('04_テストケース'!A129="","",'04_テストケース'!A129)</x:f>
      </x:c>
      <x:c r="B129" t="str">
        <x:f>IF('04_テストケース'!C129="","",'04_テストケース'!C129)</x:f>
      </x:c>
      <x:c r="C129" t="str">
        <x:f>IF('04_テストケース'!H129="","",'04_テストケース'!H129)</x:f>
      </x:c>
      <x:c r="D129" t="str">
        <x:f>IF('04_テストケース'!P129="","",'04_テストケース'!P129)</x:f>
      </x:c>
      <x:c r="H129" t="str">
        <x:f>IF('04_テストケース'!Q129="","",'04_テストケース'!Q129)</x:f>
      </x:c>
    </x:row>
    <x:row r="130">
      <x:c r="A130" t="str">
        <x:f>IF('04_テストケース'!A130="","",'04_テストケース'!A130)</x:f>
      </x:c>
      <x:c r="B130" t="str">
        <x:f>IF('04_テストケース'!C130="","",'04_テストケース'!C130)</x:f>
      </x:c>
      <x:c r="C130" t="str">
        <x:f>IF('04_テストケース'!H130="","",'04_テストケース'!H130)</x:f>
      </x:c>
      <x:c r="D130" t="str">
        <x:f>IF('04_テストケース'!P130="","",'04_テストケース'!P130)</x:f>
      </x:c>
      <x:c r="H130" t="str">
        <x:f>IF('04_テストケース'!Q130="","",'04_テストケース'!Q130)</x:f>
      </x:c>
    </x:row>
    <x:row r="131">
      <x:c r="A131" t="str">
        <x:f>IF('04_テストケース'!A131="","",'04_テストケース'!A131)</x:f>
      </x:c>
      <x:c r="B131" t="str">
        <x:f>IF('04_テストケース'!C131="","",'04_テストケース'!C131)</x:f>
      </x:c>
      <x:c r="C131" t="str">
        <x:f>IF('04_テストケース'!H131="","",'04_テストケース'!H131)</x:f>
      </x:c>
      <x:c r="D131" t="str">
        <x:f>IF('04_テストケース'!P131="","",'04_テストケース'!P131)</x:f>
      </x:c>
      <x:c r="H131" t="str">
        <x:f>IF('04_テストケース'!Q131="","",'04_テストケース'!Q131)</x:f>
      </x:c>
    </x:row>
    <x:row r="132">
      <x:c r="A132" t="str">
        <x:f>IF('04_テストケース'!A132="","",'04_テストケース'!A132)</x:f>
      </x:c>
      <x:c r="B132" t="str">
        <x:f>IF('04_テストケース'!C132="","",'04_テストケース'!C132)</x:f>
      </x:c>
      <x:c r="C132" t="str">
        <x:f>IF('04_テストケース'!H132="","",'04_テストケース'!H132)</x:f>
      </x:c>
      <x:c r="D132" t="str">
        <x:f>IF('04_テストケース'!P132="","",'04_テストケース'!P132)</x:f>
      </x:c>
      <x:c r="H132" t="str">
        <x:f>IF('04_テストケース'!Q132="","",'04_テストケース'!Q132)</x:f>
      </x:c>
    </x:row>
    <x:row r="133">
      <x:c r="A133" t="str">
        <x:f>IF('04_テストケース'!A133="","",'04_テストケース'!A133)</x:f>
      </x:c>
      <x:c r="B133" t="str">
        <x:f>IF('04_テストケース'!C133="","",'04_テストケース'!C133)</x:f>
      </x:c>
      <x:c r="C133" t="str">
        <x:f>IF('04_テストケース'!H133="","",'04_テストケース'!H133)</x:f>
      </x:c>
      <x:c r="D133" t="str">
        <x:f>IF('04_テストケース'!P133="","",'04_テストケース'!P133)</x:f>
      </x:c>
      <x:c r="H133" t="str">
        <x:f>IF('04_テストケース'!Q133="","",'04_テストケース'!Q133)</x:f>
      </x:c>
    </x:row>
    <x:row r="134">
      <x:c r="A134" t="str">
        <x:f>IF('04_テストケース'!A134="","",'04_テストケース'!A134)</x:f>
      </x:c>
      <x:c r="B134" t="str">
        <x:f>IF('04_テストケース'!C134="","",'04_テストケース'!C134)</x:f>
      </x:c>
      <x:c r="C134" t="str">
        <x:f>IF('04_テストケース'!H134="","",'04_テストケース'!H134)</x:f>
      </x:c>
      <x:c r="D134" t="str">
        <x:f>IF('04_テストケース'!P134="","",'04_テストケース'!P134)</x:f>
      </x:c>
      <x:c r="H134" t="str">
        <x:f>IF('04_テストケース'!Q134="","",'04_テストケース'!Q134)</x:f>
      </x:c>
    </x:row>
    <x:row r="135">
      <x:c r="A135" t="str">
        <x:f>IF('04_テストケース'!A135="","",'04_テストケース'!A135)</x:f>
      </x:c>
      <x:c r="B135" t="str">
        <x:f>IF('04_テストケース'!C135="","",'04_テストケース'!C135)</x:f>
      </x:c>
      <x:c r="C135" t="str">
        <x:f>IF('04_テストケース'!H135="","",'04_テストケース'!H135)</x:f>
      </x:c>
      <x:c r="D135" t="str">
        <x:f>IF('04_テストケース'!P135="","",'04_テストケース'!P135)</x:f>
      </x:c>
      <x:c r="H135" t="str">
        <x:f>IF('04_テストケース'!Q135="","",'04_テストケース'!Q135)</x:f>
      </x:c>
    </x:row>
    <x:row r="136">
      <x:c r="A136" t="str">
        <x:f>IF('04_テストケース'!A136="","",'04_テストケース'!A136)</x:f>
      </x:c>
      <x:c r="B136" t="str">
        <x:f>IF('04_テストケース'!C136="","",'04_テストケース'!C136)</x:f>
      </x:c>
      <x:c r="C136" t="str">
        <x:f>IF('04_テストケース'!H136="","",'04_テストケース'!H136)</x:f>
      </x:c>
      <x:c r="D136" t="str">
        <x:f>IF('04_テストケース'!P136="","",'04_テストケース'!P136)</x:f>
      </x:c>
      <x:c r="H136" t="str">
        <x:f>IF('04_テストケース'!Q136="","",'04_テストケース'!Q136)</x:f>
      </x:c>
    </x:row>
    <x:row r="137">
      <x:c r="A137" t="str">
        <x:f>IF('04_テストケース'!A137="","",'04_テストケース'!A137)</x:f>
      </x:c>
      <x:c r="B137" t="str">
        <x:f>IF('04_テストケース'!C137="","",'04_テストケース'!C137)</x:f>
      </x:c>
      <x:c r="C137" t="str">
        <x:f>IF('04_テストケース'!H137="","",'04_テストケース'!H137)</x:f>
      </x:c>
      <x:c r="D137" t="str">
        <x:f>IF('04_テストケース'!P137="","",'04_テストケース'!P137)</x:f>
      </x:c>
      <x:c r="H137" t="str">
        <x:f>IF('04_テストケース'!Q137="","",'04_テストケース'!Q137)</x:f>
      </x:c>
    </x:row>
    <x:row r="138">
      <x:c r="A138" t="str">
        <x:f>IF('04_テストケース'!A138="","",'04_テストケース'!A138)</x:f>
      </x:c>
      <x:c r="B138" t="str">
        <x:f>IF('04_テストケース'!C138="","",'04_テストケース'!C138)</x:f>
      </x:c>
      <x:c r="C138" t="str">
        <x:f>IF('04_テストケース'!H138="","",'04_テストケース'!H138)</x:f>
      </x:c>
      <x:c r="D138" t="str">
        <x:f>IF('04_テストケース'!P138="","",'04_テストケース'!P138)</x:f>
      </x:c>
      <x:c r="H138" t="str">
        <x:f>IF('04_テストケース'!Q138="","",'04_テストケース'!Q138)</x:f>
      </x:c>
    </x:row>
    <x:row r="139">
      <x:c r="A139" t="str">
        <x:f>IF('04_テストケース'!A139="","",'04_テストケース'!A139)</x:f>
      </x:c>
      <x:c r="B139" t="str">
        <x:f>IF('04_テストケース'!C139="","",'04_テストケース'!C139)</x:f>
      </x:c>
      <x:c r="C139" t="str">
        <x:f>IF('04_テストケース'!H139="","",'04_テストケース'!H139)</x:f>
      </x:c>
      <x:c r="D139" t="str">
        <x:f>IF('04_テストケース'!P139="","",'04_テストケース'!P139)</x:f>
      </x:c>
      <x:c r="H139" t="str">
        <x:f>IF('04_テストケース'!Q139="","",'04_テストケース'!Q139)</x:f>
      </x:c>
    </x:row>
    <x:row r="140">
      <x:c r="A140" t="str">
        <x:f>IF('04_テストケース'!A140="","",'04_テストケース'!A140)</x:f>
      </x:c>
      <x:c r="B140" t="str">
        <x:f>IF('04_テストケース'!C140="","",'04_テストケース'!C140)</x:f>
      </x:c>
      <x:c r="C140" t="str">
        <x:f>IF('04_テストケース'!H140="","",'04_テストケース'!H140)</x:f>
      </x:c>
      <x:c r="D140" t="str">
        <x:f>IF('04_テストケース'!P140="","",'04_テストケース'!P140)</x:f>
      </x:c>
      <x:c r="H140" t="str">
        <x:f>IF('04_テストケース'!Q140="","",'04_テストケース'!Q140)</x:f>
      </x:c>
    </x:row>
    <x:row r="141">
      <x:c r="A141" t="str">
        <x:f>IF('04_テストケース'!A141="","",'04_テストケース'!A141)</x:f>
      </x:c>
      <x:c r="B141" t="str">
        <x:f>IF('04_テストケース'!C141="","",'04_テストケース'!C141)</x:f>
      </x:c>
      <x:c r="C141" t="str">
        <x:f>IF('04_テストケース'!H141="","",'04_テストケース'!H141)</x:f>
      </x:c>
      <x:c r="D141" t="str">
        <x:f>IF('04_テストケース'!P141="","",'04_テストケース'!P141)</x:f>
      </x:c>
      <x:c r="H141" t="str">
        <x:f>IF('04_テストケース'!Q141="","",'04_テストケース'!Q141)</x:f>
      </x:c>
    </x:row>
    <x:row r="142">
      <x:c r="A142" t="str">
        <x:f>IF('04_テストケース'!A142="","",'04_テストケース'!A142)</x:f>
      </x:c>
      <x:c r="B142" t="str">
        <x:f>IF('04_テストケース'!C142="","",'04_テストケース'!C142)</x:f>
      </x:c>
      <x:c r="C142" t="str">
        <x:f>IF('04_テストケース'!H142="","",'04_テストケース'!H142)</x:f>
      </x:c>
      <x:c r="D142" t="str">
        <x:f>IF('04_テストケース'!P142="","",'04_テストケース'!P142)</x:f>
      </x:c>
      <x:c r="H142" t="str">
        <x:f>IF('04_テストケース'!Q142="","",'04_テストケース'!Q142)</x:f>
      </x:c>
    </x:row>
    <x:row r="143">
      <x:c r="A143" t="str">
        <x:f>IF('04_テストケース'!A143="","",'04_テストケース'!A143)</x:f>
      </x:c>
      <x:c r="B143" t="str">
        <x:f>IF('04_テストケース'!C143="","",'04_テストケース'!C143)</x:f>
      </x:c>
      <x:c r="C143" t="str">
        <x:f>IF('04_テストケース'!H143="","",'04_テストケース'!H143)</x:f>
      </x:c>
      <x:c r="D143" t="str">
        <x:f>IF('04_テストケース'!P143="","",'04_テストケース'!P143)</x:f>
      </x:c>
      <x:c r="H143" t="str">
        <x:f>IF('04_テストケース'!Q143="","",'04_テストケース'!Q143)</x:f>
      </x:c>
    </x:row>
    <x:row r="144">
      <x:c r="A144" t="str">
        <x:f>IF('04_テストケース'!A144="","",'04_テストケース'!A144)</x:f>
      </x:c>
      <x:c r="B144" t="str">
        <x:f>IF('04_テストケース'!C144="","",'04_テストケース'!C144)</x:f>
      </x:c>
      <x:c r="C144" t="str">
        <x:f>IF('04_テストケース'!H144="","",'04_テストケース'!H144)</x:f>
      </x:c>
      <x:c r="D144" t="str">
        <x:f>IF('04_テストケース'!P144="","",'04_テストケース'!P144)</x:f>
      </x:c>
      <x:c r="H144" t="str">
        <x:f>IF('04_テストケース'!Q144="","",'04_テストケース'!Q144)</x:f>
      </x:c>
    </x:row>
    <x:row r="145">
      <x:c r="A145" t="str">
        <x:f>IF('04_テストケース'!A145="","",'04_テストケース'!A145)</x:f>
      </x:c>
      <x:c r="B145" t="str">
        <x:f>IF('04_テストケース'!C145="","",'04_テストケース'!C145)</x:f>
      </x:c>
      <x:c r="C145" t="str">
        <x:f>IF('04_テストケース'!H145="","",'04_テストケース'!H145)</x:f>
      </x:c>
      <x:c r="D145" t="str">
        <x:f>IF('04_テストケース'!P145="","",'04_テストケース'!P145)</x:f>
      </x:c>
      <x:c r="H145" t="str">
        <x:f>IF('04_テストケース'!Q145="","",'04_テストケース'!Q145)</x:f>
      </x:c>
    </x:row>
    <x:row r="146">
      <x:c r="A146" t="str">
        <x:f>IF('04_テストケース'!A146="","",'04_テストケース'!A146)</x:f>
      </x:c>
      <x:c r="B146" t="str">
        <x:f>IF('04_テストケース'!C146="","",'04_テストケース'!C146)</x:f>
      </x:c>
      <x:c r="C146" t="str">
        <x:f>IF('04_テストケース'!H146="","",'04_テストケース'!H146)</x:f>
      </x:c>
      <x:c r="D146" t="str">
        <x:f>IF('04_テストケース'!P146="","",'04_テストケース'!P146)</x:f>
      </x:c>
      <x:c r="H146" t="str">
        <x:f>IF('04_テストケース'!Q146="","",'04_テストケース'!Q146)</x:f>
      </x:c>
    </x:row>
    <x:row r="147">
      <x:c r="A147" t="str">
        <x:f>IF('04_テストケース'!A147="","",'04_テストケース'!A147)</x:f>
      </x:c>
      <x:c r="B147" t="str">
        <x:f>IF('04_テストケース'!C147="","",'04_テストケース'!C147)</x:f>
      </x:c>
      <x:c r="C147" t="str">
        <x:f>IF('04_テストケース'!H147="","",'04_テストケース'!H147)</x:f>
      </x:c>
      <x:c r="D147" t="str">
        <x:f>IF('04_テストケース'!P147="","",'04_テストケース'!P147)</x:f>
      </x:c>
      <x:c r="H147" t="str">
        <x:f>IF('04_テストケース'!Q147="","",'04_テストケース'!Q147)</x:f>
      </x:c>
    </x:row>
    <x:row r="148">
      <x:c r="A148" t="str">
        <x:f>IF('04_テストケース'!A148="","",'04_テストケース'!A148)</x:f>
      </x:c>
      <x:c r="B148" t="str">
        <x:f>IF('04_テストケース'!C148="","",'04_テストケース'!C148)</x:f>
      </x:c>
      <x:c r="C148" t="str">
        <x:f>IF('04_テストケース'!H148="","",'04_テストケース'!H148)</x:f>
      </x:c>
      <x:c r="D148" t="str">
        <x:f>IF('04_テストケース'!P148="","",'04_テストケース'!P148)</x:f>
      </x:c>
      <x:c r="H148" t="str">
        <x:f>IF('04_テストケース'!Q148="","",'04_テストケース'!Q148)</x:f>
      </x:c>
    </x:row>
    <x:row r="149">
      <x:c r="A149" t="str">
        <x:f>IF('04_テストケース'!A149="","",'04_テストケース'!A149)</x:f>
      </x:c>
      <x:c r="B149" t="str">
        <x:f>IF('04_テストケース'!C149="","",'04_テストケース'!C149)</x:f>
      </x:c>
      <x:c r="C149" t="str">
        <x:f>IF('04_テストケース'!H149="","",'04_テストケース'!H149)</x:f>
      </x:c>
      <x:c r="D149" t="str">
        <x:f>IF('04_テストケース'!P149="","",'04_テストケース'!P149)</x:f>
      </x:c>
      <x:c r="H149" t="str">
        <x:f>IF('04_テストケース'!Q149="","",'04_テストケース'!Q149)</x:f>
      </x:c>
    </x:row>
    <x:row r="150">
      <x:c r="A150" t="str">
        <x:f>IF('04_テストケース'!A150="","",'04_テストケース'!A150)</x:f>
      </x:c>
      <x:c r="B150" t="str">
        <x:f>IF('04_テストケース'!C150="","",'04_テストケース'!C150)</x:f>
      </x:c>
      <x:c r="C150" t="str">
        <x:f>IF('04_テストケース'!H150="","",'04_テストケース'!H150)</x:f>
      </x:c>
      <x:c r="D150" t="str">
        <x:f>IF('04_テストケース'!P150="","",'04_テストケース'!P150)</x:f>
      </x:c>
      <x:c r="H150" t="str">
        <x:f>IF('04_テストケース'!Q150="","",'04_テストケース'!Q150)</x:f>
      </x:c>
    </x:row>
    <x:row r="151">
      <x:c r="A151" t="str">
        <x:f>IF('04_テストケース'!A151="","",'04_テストケース'!A151)</x:f>
      </x:c>
      <x:c r="B151" t="str">
        <x:f>IF('04_テストケース'!C151="","",'04_テストケース'!C151)</x:f>
      </x:c>
      <x:c r="C151" t="str">
        <x:f>IF('04_テストケース'!H151="","",'04_テストケース'!H151)</x:f>
      </x:c>
      <x:c r="D151" t="str">
        <x:f>IF('04_テストケース'!P151="","",'04_テストケース'!P151)</x:f>
      </x:c>
      <x:c r="H151" t="str">
        <x:f>IF('04_テストケース'!Q151="","",'04_テストケース'!Q151)</x:f>
      </x:c>
    </x:row>
    <x:row r="152">
      <x:c r="A152" t="str">
        <x:f>IF('04_テストケース'!A152="","",'04_テストケース'!A152)</x:f>
      </x:c>
      <x:c r="B152" t="str">
        <x:f>IF('04_テストケース'!C152="","",'04_テストケース'!C152)</x:f>
      </x:c>
      <x:c r="C152" t="str">
        <x:f>IF('04_テストケース'!H152="","",'04_テストケース'!H152)</x:f>
      </x:c>
      <x:c r="D152" t="str">
        <x:f>IF('04_テストケース'!P152="","",'04_テストケース'!P152)</x:f>
      </x:c>
      <x:c r="H152" t="str">
        <x:f>IF('04_テストケース'!Q152="","",'04_テストケース'!Q152)</x:f>
      </x:c>
    </x:row>
    <x:row r="153">
      <x:c r="A153" t="str">
        <x:f>IF('04_テストケース'!A153="","",'04_テストケース'!A153)</x:f>
      </x:c>
      <x:c r="B153" t="str">
        <x:f>IF('04_テストケース'!C153="","",'04_テストケース'!C153)</x:f>
      </x:c>
      <x:c r="C153" t="str">
        <x:f>IF('04_テストケース'!H153="","",'04_テストケース'!H153)</x:f>
      </x:c>
      <x:c r="D153" t="str">
        <x:f>IF('04_テストケース'!P153="","",'04_テストケース'!P153)</x:f>
      </x:c>
      <x:c r="H153" t="str">
        <x:f>IF('04_テストケース'!Q153="","",'04_テストケース'!Q153)</x:f>
      </x:c>
    </x:row>
    <x:row r="154">
      <x:c r="A154" t="str">
        <x:f>IF('04_テストケース'!A154="","",'04_テストケース'!A154)</x:f>
      </x:c>
      <x:c r="B154" t="str">
        <x:f>IF('04_テストケース'!C154="","",'04_テストケース'!C154)</x:f>
      </x:c>
      <x:c r="C154" t="str">
        <x:f>IF('04_テストケース'!H154="","",'04_テストケース'!H154)</x:f>
      </x:c>
      <x:c r="D154" t="str">
        <x:f>IF('04_テストケース'!P154="","",'04_テストケース'!P154)</x:f>
      </x:c>
      <x:c r="H154" t="str">
        <x:f>IF('04_テストケース'!Q154="","",'04_テストケース'!Q154)</x:f>
      </x:c>
    </x:row>
    <x:row r="155">
      <x:c r="A155" t="str">
        <x:f>IF('04_テストケース'!A155="","",'04_テストケース'!A155)</x:f>
      </x:c>
      <x:c r="B155" t="str">
        <x:f>IF('04_テストケース'!C155="","",'04_テストケース'!C155)</x:f>
      </x:c>
      <x:c r="C155" t="str">
        <x:f>IF('04_テストケース'!H155="","",'04_テストケース'!H155)</x:f>
      </x:c>
      <x:c r="D155" t="str">
        <x:f>IF('04_テストケース'!P155="","",'04_テストケース'!P155)</x:f>
      </x:c>
      <x:c r="H155" t="str">
        <x:f>IF('04_テストケース'!Q155="","",'04_テストケース'!Q155)</x:f>
      </x:c>
    </x:row>
    <x:row r="156">
      <x:c r="A156" t="str">
        <x:f>IF('04_テストケース'!A156="","",'04_テストケース'!A156)</x:f>
      </x:c>
      <x:c r="B156" t="str">
        <x:f>IF('04_テストケース'!C156="","",'04_テストケース'!C156)</x:f>
      </x:c>
      <x:c r="C156" t="str">
        <x:f>IF('04_テストケース'!H156="","",'04_テストケース'!H156)</x:f>
      </x:c>
      <x:c r="D156" t="str">
        <x:f>IF('04_テストケース'!P156="","",'04_テストケース'!P156)</x:f>
      </x:c>
      <x:c r="H156" t="str">
        <x:f>IF('04_テストケース'!Q156="","",'04_テストケース'!Q156)</x:f>
      </x:c>
    </x:row>
    <x:row r="157">
      <x:c r="A157" t="str">
        <x:f>IF('04_テストケース'!A157="","",'04_テストケース'!A157)</x:f>
      </x:c>
      <x:c r="B157" t="str">
        <x:f>IF('04_テストケース'!C157="","",'04_テストケース'!C157)</x:f>
      </x:c>
      <x:c r="C157" t="str">
        <x:f>IF('04_テストケース'!H157="","",'04_テストケース'!H157)</x:f>
      </x:c>
      <x:c r="D157" t="str">
        <x:f>IF('04_テストケース'!P157="","",'04_テストケース'!P157)</x:f>
      </x:c>
      <x:c r="H157" t="str">
        <x:f>IF('04_テストケース'!Q157="","",'04_テストケース'!Q157)</x:f>
      </x:c>
    </x:row>
    <x:row r="158">
      <x:c r="A158" t="str">
        <x:f>IF('04_テストケース'!A158="","",'04_テストケース'!A158)</x:f>
      </x:c>
      <x:c r="B158" t="str">
        <x:f>IF('04_テストケース'!C158="","",'04_テストケース'!C158)</x:f>
      </x:c>
      <x:c r="C158" t="str">
        <x:f>IF('04_テストケース'!H158="","",'04_テストケース'!H158)</x:f>
      </x:c>
      <x:c r="D158" t="str">
        <x:f>IF('04_テストケース'!P158="","",'04_テストケース'!P158)</x:f>
      </x:c>
      <x:c r="H158" t="str">
        <x:f>IF('04_テストケース'!Q158="","",'04_テストケース'!Q158)</x:f>
      </x:c>
    </x:row>
    <x:row r="159">
      <x:c r="A159" t="str">
        <x:f>IF('04_テストケース'!A159="","",'04_テストケース'!A159)</x:f>
      </x:c>
      <x:c r="B159" t="str">
        <x:f>IF('04_テストケース'!C159="","",'04_テストケース'!C159)</x:f>
      </x:c>
      <x:c r="C159" t="str">
        <x:f>IF('04_テストケース'!H159="","",'04_テストケース'!H159)</x:f>
      </x:c>
      <x:c r="D159" t="str">
        <x:f>IF('04_テストケース'!P159="","",'04_テストケース'!P159)</x:f>
      </x:c>
      <x:c r="H159" t="str">
        <x:f>IF('04_テストケース'!Q159="","",'04_テストケース'!Q159)</x:f>
      </x:c>
    </x:row>
    <x:row r="160">
      <x:c r="A160" t="str">
        <x:f>IF('04_テストケース'!A160="","",'04_テストケース'!A160)</x:f>
      </x:c>
      <x:c r="B160" t="str">
        <x:f>IF('04_テストケース'!C160="","",'04_テストケース'!C160)</x:f>
      </x:c>
      <x:c r="C160" t="str">
        <x:f>IF('04_テストケース'!H160="","",'04_テストケース'!H160)</x:f>
      </x:c>
      <x:c r="D160" t="str">
        <x:f>IF('04_テストケース'!P160="","",'04_テストケース'!P160)</x:f>
      </x:c>
      <x:c r="H160" t="str">
        <x:f>IF('04_テストケース'!Q160="","",'04_テストケース'!Q160)</x:f>
      </x:c>
    </x:row>
    <x:row r="161">
      <x:c r="A161" t="str">
        <x:f>IF('04_テストケース'!A161="","",'04_テストケース'!A161)</x:f>
      </x:c>
      <x:c r="B161" t="str">
        <x:f>IF('04_テストケース'!C161="","",'04_テストケース'!C161)</x:f>
      </x:c>
      <x:c r="C161" t="str">
        <x:f>IF('04_テストケース'!H161="","",'04_テストケース'!H161)</x:f>
      </x:c>
      <x:c r="D161" t="str">
        <x:f>IF('04_テストケース'!P161="","",'04_テストケース'!P161)</x:f>
      </x:c>
      <x:c r="H161" t="str">
        <x:f>IF('04_テストケース'!Q161="","",'04_テストケース'!Q161)</x:f>
      </x:c>
    </x:row>
    <x:row r="162">
      <x:c r="A162" t="str">
        <x:f>IF('04_テストケース'!A162="","",'04_テストケース'!A162)</x:f>
      </x:c>
      <x:c r="B162" t="str">
        <x:f>IF('04_テストケース'!C162="","",'04_テストケース'!C162)</x:f>
      </x:c>
      <x:c r="C162" t="str">
        <x:f>IF('04_テストケース'!H162="","",'04_テストケース'!H162)</x:f>
      </x:c>
      <x:c r="D162" t="str">
        <x:f>IF('04_テストケース'!P162="","",'04_テストケース'!P162)</x:f>
      </x:c>
      <x:c r="H162" t="str">
        <x:f>IF('04_テストケース'!Q162="","",'04_テストケース'!Q162)</x:f>
      </x:c>
    </x:row>
    <x:row r="163">
      <x:c r="A163" t="str">
        <x:f>IF('04_テストケース'!A163="","",'04_テストケース'!A163)</x:f>
      </x:c>
      <x:c r="B163" t="str">
        <x:f>IF('04_テストケース'!C163="","",'04_テストケース'!C163)</x:f>
      </x:c>
      <x:c r="C163" t="str">
        <x:f>IF('04_テストケース'!H163="","",'04_テストケース'!H163)</x:f>
      </x:c>
      <x:c r="D163" t="str">
        <x:f>IF('04_テストケース'!P163="","",'04_テストケース'!P163)</x:f>
      </x:c>
      <x:c r="H163" t="str">
        <x:f>IF('04_テストケース'!Q163="","",'04_テストケース'!Q163)</x:f>
      </x:c>
    </x:row>
    <x:row r="164">
      <x:c r="A164" t="str">
        <x:f>IF('04_テストケース'!A164="","",'04_テストケース'!A164)</x:f>
      </x:c>
      <x:c r="B164" t="str">
        <x:f>IF('04_テストケース'!C164="","",'04_テストケース'!C164)</x:f>
      </x:c>
      <x:c r="C164" t="str">
        <x:f>IF('04_テストケース'!H164="","",'04_テストケース'!H164)</x:f>
      </x:c>
      <x:c r="D164" t="str">
        <x:f>IF('04_テストケース'!P164="","",'04_テストケース'!P164)</x:f>
      </x:c>
      <x:c r="H164" t="str">
        <x:f>IF('04_テストケース'!Q164="","",'04_テストケース'!Q164)</x:f>
      </x:c>
    </x:row>
    <x:row r="165">
      <x:c r="A165" t="str">
        <x:f>IF('04_テストケース'!A165="","",'04_テストケース'!A165)</x:f>
      </x:c>
      <x:c r="B165" t="str">
        <x:f>IF('04_テストケース'!C165="","",'04_テストケース'!C165)</x:f>
      </x:c>
      <x:c r="C165" t="str">
        <x:f>IF('04_テストケース'!H165="","",'04_テストケース'!H165)</x:f>
      </x:c>
      <x:c r="D165" t="str">
        <x:f>IF('04_テストケース'!P165="","",'04_テストケース'!P165)</x:f>
      </x:c>
      <x:c r="H165" t="str">
        <x:f>IF('04_テストケース'!Q165="","",'04_テストケース'!Q165)</x:f>
      </x:c>
    </x:row>
    <x:row r="166">
      <x:c r="A166" t="str">
        <x:f>IF('04_テストケース'!A166="","",'04_テストケース'!A166)</x:f>
      </x:c>
      <x:c r="B166" t="str">
        <x:f>IF('04_テストケース'!C166="","",'04_テストケース'!C166)</x:f>
      </x:c>
      <x:c r="C166" t="str">
        <x:f>IF('04_テストケース'!H166="","",'04_テストケース'!H166)</x:f>
      </x:c>
      <x:c r="D166" t="str">
        <x:f>IF('04_テストケース'!P166="","",'04_テストケース'!P166)</x:f>
      </x:c>
      <x:c r="H166" t="str">
        <x:f>IF('04_テストケース'!Q166="","",'04_テストケース'!Q166)</x:f>
      </x:c>
    </x:row>
    <x:row r="167">
      <x:c r="A167" t="str">
        <x:f>IF('04_テストケース'!A167="","",'04_テストケース'!A167)</x:f>
      </x:c>
      <x:c r="B167" t="str">
        <x:f>IF('04_テストケース'!C167="","",'04_テストケース'!C167)</x:f>
      </x:c>
      <x:c r="C167" t="str">
        <x:f>IF('04_テストケース'!H167="","",'04_テストケース'!H167)</x:f>
      </x:c>
      <x:c r="D167" t="str">
        <x:f>IF('04_テストケース'!P167="","",'04_テストケース'!P167)</x:f>
      </x:c>
      <x:c r="H167" t="str">
        <x:f>IF('04_テストケース'!Q167="","",'04_テストケース'!Q167)</x:f>
      </x:c>
    </x:row>
    <x:row r="168">
      <x:c r="A168" t="str">
        <x:f>IF('04_テストケース'!A168="","",'04_テストケース'!A168)</x:f>
      </x:c>
      <x:c r="B168" t="str">
        <x:f>IF('04_テストケース'!C168="","",'04_テストケース'!C168)</x:f>
      </x:c>
      <x:c r="C168" t="str">
        <x:f>IF('04_テストケース'!H168="","",'04_テストケース'!H168)</x:f>
      </x:c>
      <x:c r="D168" t="str">
        <x:f>IF('04_テストケース'!P168="","",'04_テストケース'!P168)</x:f>
      </x:c>
      <x:c r="H168" t="str">
        <x:f>IF('04_テストケース'!Q168="","",'04_テストケース'!Q168)</x:f>
      </x:c>
    </x:row>
    <x:row r="169">
      <x:c r="A169" t="str">
        <x:f>IF('04_テストケース'!A169="","",'04_テストケース'!A169)</x:f>
      </x:c>
      <x:c r="B169" t="str">
        <x:f>IF('04_テストケース'!C169="","",'04_テストケース'!C169)</x:f>
      </x:c>
      <x:c r="C169" t="str">
        <x:f>IF('04_テストケース'!H169="","",'04_テストケース'!H169)</x:f>
      </x:c>
      <x:c r="D169" t="str">
        <x:f>IF('04_テストケース'!P169="","",'04_テストケース'!P169)</x:f>
      </x:c>
      <x:c r="H169" t="str">
        <x:f>IF('04_テストケース'!Q169="","",'04_テストケース'!Q169)</x:f>
      </x:c>
    </x:row>
    <x:row r="170">
      <x:c r="A170" t="str">
        <x:f>IF('04_テストケース'!A170="","",'04_テストケース'!A170)</x:f>
      </x:c>
      <x:c r="B170" t="str">
        <x:f>IF('04_テストケース'!C170="","",'04_テストケース'!C170)</x:f>
      </x:c>
      <x:c r="C170" t="str">
        <x:f>IF('04_テストケース'!H170="","",'04_テストケース'!H170)</x:f>
      </x:c>
      <x:c r="D170" t="str">
        <x:f>IF('04_テストケース'!P170="","",'04_テストケース'!P170)</x:f>
      </x:c>
      <x:c r="H170" t="str">
        <x:f>IF('04_テストケース'!Q170="","",'04_テストケース'!Q170)</x:f>
      </x:c>
    </x:row>
    <x:row r="171">
      <x:c r="A171" t="str">
        <x:f>IF('04_テストケース'!A171="","",'04_テストケース'!A171)</x:f>
      </x:c>
      <x:c r="B171" t="str">
        <x:f>IF('04_テストケース'!C171="","",'04_テストケース'!C171)</x:f>
      </x:c>
      <x:c r="C171" t="str">
        <x:f>IF('04_テストケース'!H171="","",'04_テストケース'!H171)</x:f>
      </x:c>
      <x:c r="D171" t="str">
        <x:f>IF('04_テストケース'!P171="","",'04_テストケース'!P171)</x:f>
      </x:c>
      <x:c r="H171" t="str">
        <x:f>IF('04_テストケース'!Q171="","",'04_テストケース'!Q171)</x:f>
      </x:c>
    </x:row>
    <x:row r="172">
      <x:c r="A172" t="str">
        <x:f>IF('04_テストケース'!A172="","",'04_テストケース'!A172)</x:f>
      </x:c>
      <x:c r="B172" t="str">
        <x:f>IF('04_テストケース'!C172="","",'04_テストケース'!C172)</x:f>
      </x:c>
      <x:c r="C172" t="str">
        <x:f>IF('04_テストケース'!H172="","",'04_テストケース'!H172)</x:f>
      </x:c>
      <x:c r="D172" t="str">
        <x:f>IF('04_テストケース'!P172="","",'04_テストケース'!P172)</x:f>
      </x:c>
      <x:c r="H172" t="str">
        <x:f>IF('04_テストケース'!Q172="","",'04_テストケース'!Q172)</x:f>
      </x:c>
    </x:row>
    <x:row r="173">
      <x:c r="A173" t="str">
        <x:f>IF('04_テストケース'!A173="","",'04_テストケース'!A173)</x:f>
      </x:c>
      <x:c r="B173" t="str">
        <x:f>IF('04_テストケース'!C173="","",'04_テストケース'!C173)</x:f>
      </x:c>
      <x:c r="C173" t="str">
        <x:f>IF('04_テストケース'!H173="","",'04_テストケース'!H173)</x:f>
      </x:c>
      <x:c r="D173" t="str">
        <x:f>IF('04_テストケース'!P173="","",'04_テストケース'!P173)</x:f>
      </x:c>
      <x:c r="H173" t="str">
        <x:f>IF('04_テストケース'!Q173="","",'04_テストケース'!Q173)</x:f>
      </x:c>
    </x:row>
    <x:row r="174">
      <x:c r="A174" t="str">
        <x:f>IF('04_テストケース'!A174="","",'04_テストケース'!A174)</x:f>
      </x:c>
      <x:c r="B174" t="str">
        <x:f>IF('04_テストケース'!C174="","",'04_テストケース'!C174)</x:f>
      </x:c>
      <x:c r="C174" t="str">
        <x:f>IF('04_テストケース'!H174="","",'04_テストケース'!H174)</x:f>
      </x:c>
      <x:c r="D174" t="str">
        <x:f>IF('04_テストケース'!P174="","",'04_テストケース'!P174)</x:f>
      </x:c>
      <x:c r="H174" t="str">
        <x:f>IF('04_テストケース'!Q174="","",'04_テストケース'!Q174)</x:f>
      </x:c>
    </x:row>
    <x:row r="175">
      <x:c r="A175" t="str">
        <x:f>IF('04_テストケース'!A175="","",'04_テストケース'!A175)</x:f>
      </x:c>
      <x:c r="B175" t="str">
        <x:f>IF('04_テストケース'!C175="","",'04_テストケース'!C175)</x:f>
      </x:c>
      <x:c r="C175" t="str">
        <x:f>IF('04_テストケース'!H175="","",'04_テストケース'!H175)</x:f>
      </x:c>
      <x:c r="D175" t="str">
        <x:f>IF('04_テストケース'!P175="","",'04_テストケース'!P175)</x:f>
      </x:c>
      <x:c r="H175" t="str">
        <x:f>IF('04_テストケース'!Q175="","",'04_テストケース'!Q175)</x:f>
      </x:c>
    </x:row>
    <x:row r="176">
      <x:c r="A176" t="str">
        <x:f>IF('04_テストケース'!A176="","",'04_テストケース'!A176)</x:f>
      </x:c>
      <x:c r="B176" t="str">
        <x:f>IF('04_テストケース'!C176="","",'04_テストケース'!C176)</x:f>
      </x:c>
      <x:c r="C176" t="str">
        <x:f>IF('04_テストケース'!H176="","",'04_テストケース'!H176)</x:f>
      </x:c>
      <x:c r="D176" t="str">
        <x:f>IF('04_テストケース'!P176="","",'04_テストケース'!P176)</x:f>
      </x:c>
      <x:c r="H176" t="str">
        <x:f>IF('04_テストケース'!Q176="","",'04_テストケース'!Q176)</x:f>
      </x:c>
    </x:row>
    <x:row r="177">
      <x:c r="A177" t="str">
        <x:f>IF('04_テストケース'!A177="","",'04_テストケース'!A177)</x:f>
      </x:c>
      <x:c r="B177" t="str">
        <x:f>IF('04_テストケース'!C177="","",'04_テストケース'!C177)</x:f>
      </x:c>
      <x:c r="C177" t="str">
        <x:f>IF('04_テストケース'!H177="","",'04_テストケース'!H177)</x:f>
      </x:c>
      <x:c r="D177" t="str">
        <x:f>IF('04_テストケース'!P177="","",'04_テストケース'!P177)</x:f>
      </x:c>
      <x:c r="H177" t="str">
        <x:f>IF('04_テストケース'!Q177="","",'04_テストケース'!Q177)</x:f>
      </x:c>
    </x:row>
    <x:row r="178">
      <x:c r="A178" t="str">
        <x:f>IF('04_テストケース'!A178="","",'04_テストケース'!A178)</x:f>
      </x:c>
      <x:c r="B178" t="str">
        <x:f>IF('04_テストケース'!C178="","",'04_テストケース'!C178)</x:f>
      </x:c>
      <x:c r="C178" t="str">
        <x:f>IF('04_テストケース'!H178="","",'04_テストケース'!H178)</x:f>
      </x:c>
      <x:c r="D178" t="str">
        <x:f>IF('04_テストケース'!P178="","",'04_テストケース'!P178)</x:f>
      </x:c>
      <x:c r="H178" t="str">
        <x:f>IF('04_テストケース'!Q178="","",'04_テストケース'!Q178)</x:f>
      </x:c>
    </x:row>
    <x:row r="179">
      <x:c r="A179" t="str">
        <x:f>IF('04_テストケース'!A179="","",'04_テストケース'!A179)</x:f>
      </x:c>
      <x:c r="B179" t="str">
        <x:f>IF('04_テストケース'!C179="","",'04_テストケース'!C179)</x:f>
      </x:c>
      <x:c r="C179" t="str">
        <x:f>IF('04_テストケース'!H179="","",'04_テストケース'!H179)</x:f>
      </x:c>
      <x:c r="D179" t="str">
        <x:f>IF('04_テストケース'!P179="","",'04_テストケース'!P179)</x:f>
      </x:c>
      <x:c r="H179" t="str">
        <x:f>IF('04_テストケース'!Q179="","",'04_テストケース'!Q179)</x:f>
      </x:c>
    </x:row>
    <x:row r="180">
      <x:c r="A180" t="str">
        <x:f>IF('04_テストケース'!A180="","",'04_テストケース'!A180)</x:f>
      </x:c>
      <x:c r="B180" t="str">
        <x:f>IF('04_テストケース'!C180="","",'04_テストケース'!C180)</x:f>
      </x:c>
      <x:c r="C180" t="str">
        <x:f>IF('04_テストケース'!H180="","",'04_テストケース'!H180)</x:f>
      </x:c>
      <x:c r="D180" t="str">
        <x:f>IF('04_テストケース'!P180="","",'04_テストケース'!P180)</x:f>
      </x:c>
      <x:c r="H180" t="str">
        <x:f>IF('04_テストケース'!Q180="","",'04_テストケース'!Q180)</x:f>
      </x:c>
    </x:row>
    <x:row r="181">
      <x:c r="A181" t="str">
        <x:f>IF('04_テストケース'!A181="","",'04_テストケース'!A181)</x:f>
      </x:c>
      <x:c r="B181" t="str">
        <x:f>IF('04_テストケース'!C181="","",'04_テストケース'!C181)</x:f>
      </x:c>
      <x:c r="C181" t="str">
        <x:f>IF('04_テストケース'!H181="","",'04_テストケース'!H181)</x:f>
      </x:c>
      <x:c r="D181" t="str">
        <x:f>IF('04_テストケース'!P181="","",'04_テストケース'!P181)</x:f>
      </x:c>
      <x:c r="H181" t="str">
        <x:f>IF('04_テストケース'!Q181="","",'04_テストケース'!Q181)</x:f>
      </x:c>
    </x:row>
    <x:row r="182">
      <x:c r="A182" t="str">
        <x:f>IF('04_テストケース'!A182="","",'04_テストケース'!A182)</x:f>
      </x:c>
      <x:c r="B182" t="str">
        <x:f>IF('04_テストケース'!C182="","",'04_テストケース'!C182)</x:f>
      </x:c>
      <x:c r="C182" t="str">
        <x:f>IF('04_テストケース'!H182="","",'04_テストケース'!H182)</x:f>
      </x:c>
      <x:c r="D182" t="str">
        <x:f>IF('04_テストケース'!P182="","",'04_テストケース'!P182)</x:f>
      </x:c>
      <x:c r="H182" t="str">
        <x:f>IF('04_テストケース'!Q182="","",'04_テストケース'!Q182)</x:f>
      </x:c>
    </x:row>
    <x:row r="183">
      <x:c r="A183" t="str">
        <x:f>IF('04_テストケース'!A183="","",'04_テストケース'!A183)</x:f>
      </x:c>
      <x:c r="B183" t="str">
        <x:f>IF('04_テストケース'!C183="","",'04_テストケース'!C183)</x:f>
      </x:c>
      <x:c r="C183" t="str">
        <x:f>IF('04_テストケース'!H183="","",'04_テストケース'!H183)</x:f>
      </x:c>
      <x:c r="D183" t="str">
        <x:f>IF('04_テストケース'!P183="","",'04_テストケース'!P183)</x:f>
      </x:c>
      <x:c r="H183" t="str">
        <x:f>IF('04_テストケース'!Q183="","",'04_テストケース'!Q183)</x:f>
      </x:c>
    </x:row>
    <x:row r="184">
      <x:c r="A184" t="str">
        <x:f>IF('04_テストケース'!A184="","",'04_テストケース'!A184)</x:f>
      </x:c>
      <x:c r="B184" t="str">
        <x:f>IF('04_テストケース'!C184="","",'04_テストケース'!C184)</x:f>
      </x:c>
      <x:c r="C184" t="str">
        <x:f>IF('04_テストケース'!H184="","",'04_テストケース'!H184)</x:f>
      </x:c>
      <x:c r="D184" t="str">
        <x:f>IF('04_テストケース'!P184="","",'04_テストケース'!P184)</x:f>
      </x:c>
      <x:c r="H184" t="str">
        <x:f>IF('04_テストケース'!Q184="","",'04_テストケース'!Q184)</x:f>
      </x:c>
    </x:row>
    <x:row r="185">
      <x:c r="A185" t="str">
        <x:f>IF('04_テストケース'!A185="","",'04_テストケース'!A185)</x:f>
      </x:c>
      <x:c r="B185" t="str">
        <x:f>IF('04_テストケース'!C185="","",'04_テストケース'!C185)</x:f>
      </x:c>
      <x:c r="C185" t="str">
        <x:f>IF('04_テストケース'!H185="","",'04_テストケース'!H185)</x:f>
      </x:c>
      <x:c r="D185" t="str">
        <x:f>IF('04_テストケース'!P185="","",'04_テストケース'!P185)</x:f>
      </x:c>
      <x:c r="H185" t="str">
        <x:f>IF('04_テストケース'!Q185="","",'04_テストケース'!Q185)</x:f>
      </x:c>
    </x:row>
    <x:row r="186">
      <x:c r="A186" t="str">
        <x:f>IF('04_テストケース'!A186="","",'04_テストケース'!A186)</x:f>
      </x:c>
      <x:c r="B186" t="str">
        <x:f>IF('04_テストケース'!C186="","",'04_テストケース'!C186)</x:f>
      </x:c>
      <x:c r="C186" t="str">
        <x:f>IF('04_テストケース'!H186="","",'04_テストケース'!H186)</x:f>
      </x:c>
      <x:c r="D186" t="str">
        <x:f>IF('04_テストケース'!P186="","",'04_テストケース'!P186)</x:f>
      </x:c>
      <x:c r="H186" t="str">
        <x:f>IF('04_テストケース'!Q186="","",'04_テストケース'!Q186)</x:f>
      </x:c>
    </x:row>
    <x:row r="187">
      <x:c r="A187" t="str">
        <x:f>IF('04_テストケース'!A187="","",'04_テストケース'!A187)</x:f>
      </x:c>
      <x:c r="B187" t="str">
        <x:f>IF('04_テストケース'!C187="","",'04_テストケース'!C187)</x:f>
      </x:c>
      <x:c r="C187" t="str">
        <x:f>IF('04_テストケース'!H187="","",'04_テストケース'!H187)</x:f>
      </x:c>
      <x:c r="D187" t="str">
        <x:f>IF('04_テストケース'!P187="","",'04_テストケース'!P187)</x:f>
      </x:c>
      <x:c r="H187" t="str">
        <x:f>IF('04_テストケース'!Q187="","",'04_テストケース'!Q187)</x:f>
      </x:c>
    </x:row>
    <x:row r="188">
      <x:c r="A188" t="str">
        <x:f>IF('04_テストケース'!A188="","",'04_テストケース'!A188)</x:f>
      </x:c>
      <x:c r="B188" t="str">
        <x:f>IF('04_テストケース'!C188="","",'04_テストケース'!C188)</x:f>
      </x:c>
      <x:c r="C188" t="str">
        <x:f>IF('04_テストケース'!H188="","",'04_テストケース'!H188)</x:f>
      </x:c>
      <x:c r="D188" t="str">
        <x:f>IF('04_テストケース'!P188="","",'04_テストケース'!P188)</x:f>
      </x:c>
      <x:c r="H188" t="str">
        <x:f>IF('04_テストケース'!Q188="","",'04_テストケース'!Q188)</x:f>
      </x:c>
    </x:row>
    <x:row r="189">
      <x:c r="A189" t="str">
        <x:f>IF('04_テストケース'!A189="","",'04_テストケース'!A189)</x:f>
      </x:c>
      <x:c r="B189" t="str">
        <x:f>IF('04_テストケース'!C189="","",'04_テストケース'!C189)</x:f>
      </x:c>
      <x:c r="C189" t="str">
        <x:f>IF('04_テストケース'!H189="","",'04_テストケース'!H189)</x:f>
      </x:c>
      <x:c r="D189" t="str">
        <x:f>IF('04_テストケース'!P189="","",'04_テストケース'!P189)</x:f>
      </x:c>
      <x:c r="H189" t="str">
        <x:f>IF('04_テストケース'!Q189="","",'04_テストケース'!Q189)</x:f>
      </x:c>
    </x:row>
    <x:row r="190">
      <x:c r="A190" t="str">
        <x:f>IF('04_テストケース'!A190="","",'04_テストケース'!A190)</x:f>
      </x:c>
      <x:c r="B190" t="str">
        <x:f>IF('04_テストケース'!C190="","",'04_テストケース'!C190)</x:f>
      </x:c>
      <x:c r="C190" t="str">
        <x:f>IF('04_テストケース'!H190="","",'04_テストケース'!H190)</x:f>
      </x:c>
      <x:c r="D190" t="str">
        <x:f>IF('04_テストケース'!P190="","",'04_テストケース'!P190)</x:f>
      </x:c>
      <x:c r="H190" t="str">
        <x:f>IF('04_テストケース'!Q190="","",'04_テストケース'!Q190)</x:f>
      </x:c>
    </x:row>
    <x:row r="191">
      <x:c r="A191" t="str">
        <x:f>IF('04_テストケース'!A191="","",'04_テストケース'!A191)</x:f>
      </x:c>
      <x:c r="B191" t="str">
        <x:f>IF('04_テストケース'!C191="","",'04_テストケース'!C191)</x:f>
      </x:c>
      <x:c r="C191" t="str">
        <x:f>IF('04_テストケース'!H191="","",'04_テストケース'!H191)</x:f>
      </x:c>
      <x:c r="D191" t="str">
        <x:f>IF('04_テストケース'!P191="","",'04_テストケース'!P191)</x:f>
      </x:c>
      <x:c r="H191" t="str">
        <x:f>IF('04_テストケース'!Q191="","",'04_テストケース'!Q191)</x:f>
      </x:c>
    </x:row>
    <x:row r="192">
      <x:c r="A192" t="str">
        <x:f>IF('04_テストケース'!A192="","",'04_テストケース'!A192)</x:f>
      </x:c>
      <x:c r="B192" t="str">
        <x:f>IF('04_テストケース'!C192="","",'04_テストケース'!C192)</x:f>
      </x:c>
      <x:c r="C192" t="str">
        <x:f>IF('04_テストケース'!H192="","",'04_テストケース'!H192)</x:f>
      </x:c>
      <x:c r="D192" t="str">
        <x:f>IF('04_テストケース'!P192="","",'04_テストケース'!P192)</x:f>
      </x:c>
      <x:c r="H192" t="str">
        <x:f>IF('04_テストケース'!Q192="","",'04_テストケース'!Q192)</x:f>
      </x:c>
    </x:row>
    <x:row r="193">
      <x:c r="A193" t="str">
        <x:f>IF('04_テストケース'!A193="","",'04_テストケース'!A193)</x:f>
      </x:c>
      <x:c r="B193" t="str">
        <x:f>IF('04_テストケース'!C193="","",'04_テストケース'!C193)</x:f>
      </x:c>
      <x:c r="C193" t="str">
        <x:f>IF('04_テストケース'!H193="","",'04_テストケース'!H193)</x:f>
      </x:c>
      <x:c r="D193" t="str">
        <x:f>IF('04_テストケース'!P193="","",'04_テストケース'!P193)</x:f>
      </x:c>
      <x:c r="H193" t="str">
        <x:f>IF('04_テストケース'!Q193="","",'04_テストケース'!Q193)</x:f>
      </x:c>
    </x:row>
    <x:row r="194">
      <x:c r="A194" t="str">
        <x:f>IF('04_テストケース'!A194="","",'04_テストケース'!A194)</x:f>
      </x:c>
      <x:c r="B194" t="str">
        <x:f>IF('04_テストケース'!C194="","",'04_テストケース'!C194)</x:f>
      </x:c>
      <x:c r="C194" t="str">
        <x:f>IF('04_テストケース'!H194="","",'04_テストケース'!H194)</x:f>
      </x:c>
      <x:c r="D194" t="str">
        <x:f>IF('04_テストケース'!P194="","",'04_テストケース'!P194)</x:f>
      </x:c>
      <x:c r="H194" t="str">
        <x:f>IF('04_テストケース'!Q194="","",'04_テストケース'!Q194)</x:f>
      </x:c>
    </x:row>
    <x:row r="195">
      <x:c r="A195" t="str">
        <x:f>IF('04_テストケース'!A195="","",'04_テストケース'!A195)</x:f>
      </x:c>
      <x:c r="B195" t="str">
        <x:f>IF('04_テストケース'!C195="","",'04_テストケース'!C195)</x:f>
      </x:c>
      <x:c r="C195" t="str">
        <x:f>IF('04_テストケース'!H195="","",'04_テストケース'!H195)</x:f>
      </x:c>
      <x:c r="D195" t="str">
        <x:f>IF('04_テストケース'!P195="","",'04_テストケース'!P195)</x:f>
      </x:c>
      <x:c r="H195" t="str">
        <x:f>IF('04_テストケース'!Q195="","",'04_テストケース'!Q195)</x:f>
      </x:c>
    </x:row>
    <x:row r="196">
      <x:c r="A196" t="str">
        <x:f>IF('04_テストケース'!A196="","",'04_テストケース'!A196)</x:f>
      </x:c>
      <x:c r="B196" t="str">
        <x:f>IF('04_テストケース'!C196="","",'04_テストケース'!C196)</x:f>
      </x:c>
      <x:c r="C196" t="str">
        <x:f>IF('04_テストケース'!H196="","",'04_テストケース'!H196)</x:f>
      </x:c>
      <x:c r="D196" t="str">
        <x:f>IF('04_テストケース'!P196="","",'04_テストケース'!P196)</x:f>
      </x:c>
      <x:c r="H196" t="str">
        <x:f>IF('04_テストケース'!Q196="","",'04_テストケース'!Q196)</x:f>
      </x:c>
    </x:row>
    <x:row r="197">
      <x:c r="A197" t="str">
        <x:f>IF('04_テストケース'!A197="","",'04_テストケース'!A197)</x:f>
      </x:c>
      <x:c r="B197" t="str">
        <x:f>IF('04_テストケース'!C197="","",'04_テストケース'!C197)</x:f>
      </x:c>
      <x:c r="C197" t="str">
        <x:f>IF('04_テストケース'!H197="","",'04_テストケース'!H197)</x:f>
      </x:c>
      <x:c r="D197" t="str">
        <x:f>IF('04_テストケース'!P197="","",'04_テストケース'!P197)</x:f>
      </x:c>
      <x:c r="H197" t="str">
        <x:f>IF('04_テストケース'!Q197="","",'04_テストケース'!Q197)</x:f>
      </x:c>
    </x:row>
    <x:row r="198">
      <x:c r="A198" t="str">
        <x:f>IF('04_テストケース'!A198="","",'04_テストケース'!A198)</x:f>
      </x:c>
      <x:c r="B198" t="str">
        <x:f>IF('04_テストケース'!C198="","",'04_テストケース'!C198)</x:f>
      </x:c>
      <x:c r="C198" t="str">
        <x:f>IF('04_テストケース'!H198="","",'04_テストケース'!H198)</x:f>
      </x:c>
      <x:c r="D198" t="str">
        <x:f>IF('04_テストケース'!P198="","",'04_テストケース'!P198)</x:f>
      </x:c>
      <x:c r="H198" t="str">
        <x:f>IF('04_テストケース'!Q198="","",'04_テストケース'!Q198)</x:f>
      </x:c>
    </x:row>
    <x:row r="199">
      <x:c r="A199" t="str">
        <x:f>IF('04_テストケース'!A199="","",'04_テストケース'!A199)</x:f>
      </x:c>
      <x:c r="B199" t="str">
        <x:f>IF('04_テストケース'!C199="","",'04_テストケース'!C199)</x:f>
      </x:c>
      <x:c r="C199" t="str">
        <x:f>IF('04_テストケース'!H199="","",'04_テストケース'!H199)</x:f>
      </x:c>
      <x:c r="D199" t="str">
        <x:f>IF('04_テストケース'!P199="","",'04_テストケース'!P199)</x:f>
      </x:c>
      <x:c r="H199" t="str">
        <x:f>IF('04_テストケース'!Q199="","",'04_テストケース'!Q199)</x:f>
      </x:c>
    </x:row>
    <x:row r="200">
      <x:c r="A200" t="str">
        <x:f>IF('04_テストケース'!A200="","",'04_テストケース'!A200)</x:f>
      </x:c>
      <x:c r="B200" t="str">
        <x:f>IF('04_テストケース'!C200="","",'04_テストケース'!C200)</x:f>
      </x:c>
      <x:c r="C200" t="str">
        <x:f>IF('04_テストケース'!H200="","",'04_テストケース'!H200)</x:f>
      </x:c>
      <x:c r="D200" t="str">
        <x:f>IF('04_テストケース'!P200="","",'04_テストケース'!P200)</x:f>
      </x:c>
      <x:c r="H200" t="str">
        <x:f>IF('04_テストケース'!Q200="","",'04_テストケース'!Q200)</x:f>
      </x:c>
    </x:row>
    <x:row r="201">
      <x:c r="A201" t="str">
        <x:f>IF('04_テストケース'!A201="","",'04_テストケース'!A201)</x:f>
      </x:c>
      <x:c r="B201" t="str">
        <x:f>IF('04_テストケース'!C201="","",'04_テストケース'!C201)</x:f>
      </x:c>
      <x:c r="C201" t="str">
        <x:f>IF('04_テストケース'!H201="","",'04_テストケース'!H201)</x:f>
      </x:c>
      <x:c r="D201" t="str">
        <x:f>IF('04_テストケース'!P201="","",'04_テストケース'!P201)</x:f>
      </x:c>
      <x:c r="H201" t="str">
        <x:f>IF('04_テストケース'!Q201="","",'04_テストケース'!Q201)</x:f>
      </x:c>
    </x:row>
    <x:row r="202">
      <x:c r="A202" t="str">
        <x:f>IF('04_テストケース'!A202="","",'04_テストケース'!A202)</x:f>
      </x:c>
      <x:c r="B202" t="str">
        <x:f>IF('04_テストケース'!C202="","",'04_テストケース'!C202)</x:f>
      </x:c>
      <x:c r="C202" t="str">
        <x:f>IF('04_テストケース'!H202="","",'04_テストケース'!H202)</x:f>
      </x:c>
      <x:c r="D202" t="str">
        <x:f>IF('04_テストケース'!P202="","",'04_テストケース'!P202)</x:f>
      </x:c>
      <x:c r="H202" t="str">
        <x:f>IF('04_テストケース'!Q202="","",'04_テストケース'!Q202)</x:f>
      </x:c>
    </x:row>
    <x:row r="203">
      <x:c r="A203" t="str">
        <x:f>IF('04_テストケース'!A203="","",'04_テストケース'!A203)</x:f>
      </x:c>
      <x:c r="B203" t="str">
        <x:f>IF('04_テストケース'!C203="","",'04_テストケース'!C203)</x:f>
      </x:c>
      <x:c r="C203" t="str">
        <x:f>IF('04_テストケース'!H203="","",'04_テストケース'!H203)</x:f>
      </x:c>
      <x:c r="D203" t="str">
        <x:f>IF('04_テストケース'!P203="","",'04_テストケース'!P203)</x:f>
      </x:c>
      <x:c r="H203" t="str">
        <x:f>IF('04_テストケース'!Q203="","",'04_テストケース'!Q203)</x:f>
      </x:c>
    </x:row>
    <x:row r="204">
      <x:c r="A204" t="str">
        <x:f>IF('04_テストケース'!A204="","",'04_テストケース'!A204)</x:f>
      </x:c>
      <x:c r="B204" t="str">
        <x:f>IF('04_テストケース'!C204="","",'04_テストケース'!C204)</x:f>
      </x:c>
      <x:c r="C204" t="str">
        <x:f>IF('04_テストケース'!H204="","",'04_テストケース'!H204)</x:f>
      </x:c>
      <x:c r="D204" t="str">
        <x:f>IF('04_テストケース'!P204="","",'04_テストケース'!P204)</x:f>
      </x:c>
      <x:c r="H204" t="str">
        <x:f>IF('04_テストケース'!Q204="","",'04_テストケース'!Q204)</x:f>
      </x:c>
    </x:row>
    <x:row r="205">
      <x:c r="A205" t="str">
        <x:f>IF('04_テストケース'!A205="","",'04_テストケース'!A205)</x:f>
      </x:c>
      <x:c r="B205" t="str">
        <x:f>IF('04_テストケース'!C205="","",'04_テストケース'!C205)</x:f>
      </x:c>
      <x:c r="C205" t="str">
        <x:f>IF('04_テストケース'!H205="","",'04_テストケース'!H205)</x:f>
      </x:c>
      <x:c r="D205" t="str">
        <x:f>IF('04_テストケース'!P205="","",'04_テストケース'!P205)</x:f>
      </x:c>
      <x:c r="H205" t="str">
        <x:f>IF('04_テストケース'!Q205="","",'04_テストケース'!Q205)</x:f>
      </x:c>
    </x:row>
    <x:row r="206">
      <x:c r="A206" t="str">
        <x:f>IF('04_テストケース'!A206="","",'04_テストケース'!A206)</x:f>
      </x:c>
      <x:c r="B206" t="str">
        <x:f>IF('04_テストケース'!C206="","",'04_テストケース'!C206)</x:f>
      </x:c>
      <x:c r="C206" t="str">
        <x:f>IF('04_テストケース'!H206="","",'04_テストケース'!H206)</x:f>
      </x:c>
      <x:c r="D206" t="str">
        <x:f>IF('04_テストケース'!P206="","",'04_テストケース'!P206)</x:f>
      </x:c>
      <x:c r="H206" t="str">
        <x:f>IF('04_テストケース'!Q206="","",'04_テストケース'!Q206)</x:f>
      </x:c>
    </x:row>
    <x:row r="207">
      <x:c r="A207" t="str">
        <x:f>IF('04_テストケース'!A207="","",'04_テストケース'!A207)</x:f>
      </x:c>
      <x:c r="B207" t="str">
        <x:f>IF('04_テストケース'!C207="","",'04_テストケース'!C207)</x:f>
      </x:c>
      <x:c r="C207" t="str">
        <x:f>IF('04_テストケース'!H207="","",'04_テストケース'!H207)</x:f>
      </x:c>
      <x:c r="D207" t="str">
        <x:f>IF('04_テストケース'!P207="","",'04_テストケース'!P207)</x:f>
      </x:c>
      <x:c r="H207" t="str">
        <x:f>IF('04_テストケース'!Q207="","",'04_テストケース'!Q207)</x:f>
      </x:c>
    </x:row>
  </x:sheetData>
  <x:mergeCells>
    <x:mergeCell ref="A1:H2"/>
    <x:mergeCell ref="A6:H6"/>
  </x:mergeCells>
  <x:dataValidations count="1">
    <x:dataValidation type="list" sqref="E8:E207">
      <x:formula1>"未取得,取得済,不要"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35" t="str">
        <x:v>単体Test集計</x:v>
      </x:c>
      <x:c r="B1" s="35"/>
      <x:c r="C1" s="35"/>
      <x:c r="D1" s="35"/>
    </x:row>
    <x:row r="2">
      <x:c r="A2" s="35"/>
      <x:c r="B2" s="35"/>
      <x:c r="C2" s="35"/>
      <x:c r="D2" s="35"/>
    </x:row>
    <x:row r="3">
      <x:c r="A3" s="29" t="str">
        <x:v>システム名</x:v>
      </x:c>
      <x:c r="B3" s="30" t="str">
        <x:v>Company WorkHub</x:v>
      </x:c>
      <x:c r="C3" s="29" t="str">
        <x:v>文書番号</x:v>
      </x:c>
      <x:c r="D3" s="30" t="str">
        <x:v>CW-UT-AUTH-SUMMARY</x:v>
      </x:c>
    </x:row>
    <x:row r="4">
      <x:c r="A4" s="29" t="str">
        <x:v>版数</x:v>
      </x:c>
      <x:c r="B4" s="30" t="str">
        <x:v>Ver.1.3</x:v>
      </x:c>
      <x:c r="C4" s="29" t="str">
        <x:v>改訂日</x:v>
      </x:c>
      <x:c r="D4" s="30" t="str">
        <x:v>2026-08-10</x:v>
      </x:c>
    </x:row>
    <x:row r="5">
      <x:c r="A5" s="31"/>
      <x:c r="B5" s="31"/>
      <x:c r="C5" s="31"/>
      <x:c r="D5" s="31"/>
    </x:row>
    <x:row r="6">
      <x:c r="A6" s="32" t="str">
        <x:v>1. 実行集計</x:v>
      </x:c>
      <x:c r="B6" s="32"/>
      <x:c r="C6" s="32"/>
      <x:c r="D6" s="32"/>
    </x:row>
    <x:row r="7">
      <x:c r="A7" s="33" t="str">
        <x:v>指標</x:v>
      </x:c>
      <x:c r="B7" s="33" t="str">
        <x:v>値</x:v>
      </x:c>
      <x:c r="C7" s="33" t="str">
        <x:v>完了条件</x:v>
      </x:c>
      <x:c r="D7" s="33" t="str">
        <x:v>判定</x:v>
      </x:c>
    </x:row>
    <x:row r="8" ht="30" customHeight="1">
      <x:c r="A8" s="34" t="str">
        <x:v>対象Case数</x:v>
      </x:c>
      <x:c r="B8" s="34" t="n">
        <x:f>COUNTA('04_テストケース'!$A$8:$A$207)-COUNTIF('04_テストケース'!$N$8:$N$207,"対象外")</x:f>
        <x:v>50</x:v>
      </x:c>
      <x:c r="C8" s="34" t="str">
        <x:v>-</x:v>
      </x:c>
      <x:c r="D8" s="34" t="str">
        <x:v>-</x:v>
      </x:c>
    </x:row>
    <x:row r="9" ht="30" customHeight="1">
      <x:c r="A9" s="34" t="str">
        <x:v>OK</x:v>
      </x:c>
      <x:c r="B9" s="34" t="n">
        <x:f>COUNTIF('04_テストケース'!$N$8:$N$207,"OK")</x:f>
        <x:v>0</x:v>
      </x:c>
      <x:c r="C9" s="34" t="str">
        <x:v>-</x:v>
      </x:c>
      <x:c r="D9" s="34" t="str">
        <x:v>-</x:v>
      </x:c>
    </x:row>
    <x:row r="10" ht="30" customHeight="1">
      <x:c r="A10" s="34" t="str">
        <x:v>NG</x:v>
      </x:c>
      <x:c r="B10" s="34" t="n">
        <x:f>COUNTIF('04_テストケース'!$N$8:$N$207,"NG")</x:f>
        <x:v>0</x:v>
      </x:c>
      <x:c r="C10" s="34" t="str">
        <x:v>0件</x:v>
      </x:c>
      <x:c r="D10" s="34" t="str">
        <x:f>IF(B10=0,"OK","NG")</x:f>
        <x:v>OK</x:v>
      </x:c>
    </x:row>
    <x:row r="11" ht="30" customHeight="1">
      <x:c r="A11" s="34" t="str">
        <x:v>未実施</x:v>
      </x:c>
      <x:c r="B11" s="34" t="n">
        <x:f>COUNTIF('04_テストケース'!$N$8:$N$207,"未実施")</x:f>
        <x:v>50</x:v>
      </x:c>
      <x:c r="C11" s="34" t="str">
        <x:v>0件</x:v>
      </x:c>
      <x:c r="D11" s="34" t="str">
        <x:f>IF(B11=0,"OK","NG")</x:f>
        <x:v>NG</x:v>
      </x:c>
    </x:row>
    <x:row r="12" ht="30" customHeight="1">
      <x:c r="A12" s="34" t="str">
        <x:v>保留</x:v>
      </x:c>
      <x:c r="B12" s="34" t="n">
        <x:f>COUNTIF('04_テストケース'!$N$8:$N$207,"保留")</x:f>
        <x:v>0</x:v>
      </x:c>
      <x:c r="C12" s="34" t="str">
        <x:v>Leader承認済のみ</x:v>
      </x:c>
      <x:c r="D12" s="34" t="str">
        <x:f>IF(B12=0,"OK","要Leader承認")</x:f>
        <x:v>OK</x:v>
      </x:c>
    </x:row>
    <x:row r="13" ht="30" customHeight="1">
      <x:c r="A13" s="34" t="str">
        <x:v>対象外</x:v>
      </x:c>
      <x:c r="B13" s="61" t="n">
        <x:f>COUNTIF('04_テストケース'!$N$8:$N$207,"対象外")</x:f>
        <x:v>0</x:v>
      </x:c>
      <x:c r="C13" s="34" t="str">
        <x:v>-</x:v>
      </x:c>
      <x:c r="D13" s="34" t="str">
        <x:f>"-"</x:f>
        <x:v>-</x:v>
      </x:c>
    </x:row>
    <x:row r="14">
      <x:c r="A14" t="str">
        <x:v>実施率</x:v>
      </x:c>
      <x:c r="B14" s="63" t="n">
        <x:f>IF(B8=0,0,(B9+B10+B12)/B8)</x:f>
        <x:v>0</x:v>
      </x:c>
      <x:c r="C14" t="str">
        <x:v>100%</x:v>
      </x:c>
      <x:c r="D14" t="str">
        <x:f>IF(B14=1,"OK","NG")</x:f>
        <x:v>NG</x:v>
      </x:c>
    </x:row>
    <x:row r="15">
      <x:c r="A15" t="str">
        <x:v>証跡取得率</x:v>
      </x:c>
      <x:c r="B15" s="63" t="n">
        <x:f>IF(B8=0,0,COUNTIF('06_証跡管理'!$E$8:$E$207,"取得済")/B8)</x:f>
        <x:v>0</x:v>
      </x:c>
      <x:c r="C15" t="str">
        <x:v>100%</x:v>
      </x:c>
      <x:c r="D15" t="str">
        <x:f>IF(B15=1,"OK","NG")</x:f>
        <x:v>NG</x:v>
      </x:c>
    </x:row>
    <x:row r="16">
      <x:c r="A16" t="str">
        <x:v>総合判定</x:v>
      </x:c>
      <x:c r="B16"/>
      <x:c r="C16" t="str">
        <x:v>NG=0、未実施=0、証跡100%</x:v>
      </x:c>
      <x:c r="D16" t="str">
        <x:f>IF(AND(B10=0,B11=0,B14=1,B15=1),"OK","NG")</x:f>
        <x:v>NG</x:v>
      </x:c>
    </x:row>
  </x:sheetData>
  <x:mergeCells>
    <x:mergeCell ref="A1:D2"/>
    <x:mergeCell ref="A6:D6"/>
  </x:mergeCells>
  <x:pageMargins left="0.7" right="0.7" top="0.75" bottom="0.75" header="0.3" footer="0.3"/>
</x:worksheet>
</file>