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037e1445d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eb986a370bcf476e"/>
    <x:sheet xmlns:r="http://schemas.openxmlformats.org/officeDocument/2006/relationships" name="01_改訂履歴" sheetId="2" r:id="R782ce371713b4db9"/>
    <x:sheet xmlns:r="http://schemas.openxmlformats.org/officeDocument/2006/relationships" name="02_前提・体制" sheetId="3" r:id="Rcd8e5cab2c7949ec"/>
    <x:sheet xmlns:r="http://schemas.openxmlformats.org/officeDocument/2006/relationships" name="03_WorkPackage一覧" sheetId="4" r:id="R93997031b2b04c30"/>
    <x:sheet xmlns:r="http://schemas.openxmlformats.org/officeDocument/2006/relationships" name="04_タスクスケジュール" sheetId="5" r:id="Rcb70b31111774e57"/>
    <x:sheet xmlns:r="http://schemas.openxmlformats.org/officeDocument/2006/relationships" name="05_担当別サマリ" sheetId="6" r:id="Rab529893f1d6416b"/>
    <x:sheet xmlns:r="http://schemas.openxmlformats.org/officeDocument/2006/relationships" name="06_マイルストーン" sheetId="7" r:id="R42e690ab8df244f8"/>
    <x:sheet xmlns:r="http://schemas.openxmlformats.org/officeDocument/2006/relationships" name="07_休日Calendar" sheetId="8" r:id="R0c86fc5105454f10"/>
    <x:sheet xmlns:r="http://schemas.openxmlformats.org/officeDocument/2006/relationships" name="08_工程ガント" sheetId="9" r:id="Rc8602e9c3a1944b8"/>
    <x:sheet xmlns:r="http://schemas.openxmlformats.org/officeDocument/2006/relationships" name="09_運用ルール" sheetId="10" r:id="R2167ebd10eea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%"/>
  </x:numFmts>
  <x:fonts count="9">
    <x:font>
      <x:sz val="11"/>
      <x:name val="Carlito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0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sz val="9"/>
      <x:color rgb="FF1F1F1F"/>
      <x:name val="Yu Gothic"/>
    </x:font>
    <x:font>
      <x:b/>
      <x:sz val="9"/>
      <x:color rgb="FFFFFFFF"/>
      <x:name val="Yu Gothic"/>
    </x:font>
    <x:font>
      <x:b/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  <x:xf numFmtId="202" fontId="6" fillId="0" borderId="2" xfId="0" applyNumberFormat="1" applyFont="1" applyFill="1" applyBorder="1" applyAlignment="1">
      <x:alignment vertical="center" wrapText="1"/>
    </x:xf>
    <x:xf numFmtId="200" fontId="7" fillId="2" borderId="1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7be0fdae748b4" /><Relationship Type="http://schemas.openxmlformats.org/officeDocument/2006/relationships/theme" Target="/xl/theme/theme1.xml" Id="R19d469f25e154192" /><Relationship Type="http://schemas.openxmlformats.org/officeDocument/2006/relationships/sharedStrings" Target="/xl/sharedStrings.xml" Id="R6ca58e6384cb4d66" /><Relationship Type="http://schemas.openxmlformats.org/officeDocument/2006/relationships/worksheet" Target="/xl/worksheets/sheet1.xml" Id="Reb986a370bcf476e" /><Relationship Type="http://schemas.openxmlformats.org/officeDocument/2006/relationships/worksheet" Target="/xl/worksheets/sheet2.xml" Id="R782ce371713b4db9" /><Relationship Type="http://schemas.openxmlformats.org/officeDocument/2006/relationships/worksheet" Target="/xl/worksheets/sheet3.xml" Id="Rcd8e5cab2c7949ec" /><Relationship Type="http://schemas.openxmlformats.org/officeDocument/2006/relationships/worksheet" Target="/xl/worksheets/sheet4.xml" Id="R93997031b2b04c30" /><Relationship Type="http://schemas.openxmlformats.org/officeDocument/2006/relationships/worksheet" Target="/xl/worksheets/sheet5.xml" Id="Rcb70b31111774e57" /><Relationship Type="http://schemas.openxmlformats.org/officeDocument/2006/relationships/worksheet" Target="/xl/worksheets/sheet6.xml" Id="Rab529893f1d6416b" /><Relationship Type="http://schemas.openxmlformats.org/officeDocument/2006/relationships/worksheet" Target="/xl/worksheets/sheet7.xml" Id="R42e690ab8df244f8" /><Relationship Type="http://schemas.openxmlformats.org/officeDocument/2006/relationships/worksheet" Target="/xl/worksheets/sheet8.xml" Id="R0c86fc5105454f10" /><Relationship Type="http://schemas.openxmlformats.org/officeDocument/2006/relationships/worksheet" Target="/xl/worksheets/sheet9.xml" Id="Rc8602e9c3a1944b8" /><Relationship Type="http://schemas.openxmlformats.org/officeDocument/2006/relationships/worksheet" Target="/xl/worksheets/sheet10.xml" Id="R2167ebd10eea49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3">
      <x:c r="B3" s="5" t="str">
        <x:v>Company WorkHub
企業従業員・タスク管理システム</x:v>
      </x:c>
      <x:c r="C3" s="5"/>
      <x:c r="D3" s="5"/>
      <x:c r="E3" s="5"/>
      <x:c r="F3" s="5"/>
      <x:c r="G3" s="5"/>
      <x:c r="H3" s="5"/>
      <x:c r="I3" s="5"/>
      <x:c r="J3" s="5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5"/>
      <x:c r="C5" s="5"/>
      <x:c r="D5" s="5"/>
      <x:c r="E5" s="5"/>
      <x:c r="F5" s="5"/>
      <x:c r="G5" s="5"/>
      <x:c r="H5" s="5"/>
      <x:c r="I5" s="5"/>
      <x:c r="J5" s="5"/>
    </x:row>
    <x:row r="8">
      <x:c r="B8" s="10" t="str">
        <x:v>プロジェクト開発スケジュール</x:v>
      </x:c>
      <x:c r="C8" s="10"/>
      <x:c r="D8" s="10"/>
      <x:c r="E8" s="10"/>
      <x:c r="F8" s="10"/>
      <x:c r="G8" s="10"/>
      <x:c r="H8" s="10"/>
      <x:c r="I8" s="10"/>
      <x:c r="J8" s="10"/>
    </x:row>
    <x:row r="9">
      <x:c r="B9" s="10"/>
      <x:c r="C9" s="10"/>
      <x:c r="D9" s="10"/>
      <x:c r="E9" s="10"/>
      <x:c r="F9" s="10"/>
      <x:c r="G9" s="10"/>
      <x:c r="H9" s="10"/>
      <x:c r="I9" s="10"/>
      <x:c r="J9" s="10"/>
    </x:row>
    <x:row r="10">
      <x:c r="B10" s="10"/>
      <x:c r="C10" s="10"/>
      <x:c r="D10" s="10"/>
      <x:c r="E10" s="10"/>
      <x:c r="F10" s="10"/>
      <x:c r="G10" s="10"/>
      <x:c r="H10" s="10"/>
      <x:c r="I10" s="10"/>
      <x:c r="J10" s="10"/>
    </x:row>
    <x:row r="12">
      <x:c r="C12" s="12" t="str">
        <x:v>文書番号</x:v>
      </x:c>
      <x:c r="D12" s="15" t="str">
        <x:v>CW-PM-SCH-001</x:v>
      </x:c>
      <x:c r="E12" s="15"/>
      <x:c r="F12" s="15"/>
    </x:row>
    <x:row r="13">
      <x:c r="C13" s="12" t="str">
        <x:v>版数</x:v>
      </x:c>
      <x:c r="D13" s="15" t="str">
        <x:v>Ver.1.1</x:v>
      </x:c>
      <x:c r="E13" s="15"/>
      <x:c r="F13" s="15"/>
    </x:row>
    <x:row r="14">
      <x:c r="C14" s="12" t="str">
        <x:v>作成日</x:v>
      </x:c>
      <x:c r="D14" s="16" t="n">
        <x:v>46247</x:v>
      </x:c>
      <x:c r="E14" s="15"/>
      <x:c r="F14" s="15"/>
    </x:row>
    <x:row r="15">
      <x:c r="C15" s="12" t="str">
        <x:v>計画期間</x:v>
      </x:c>
      <x:c r="D15" s="15" t="str">
        <x:v>2026-08-13 ～ 2027-04-21</x:v>
      </x:c>
      <x:c r="E15" s="15"/>
      <x:c r="F15" s="15"/>
    </x:row>
    <x:row r="16">
      <x:c r="C16" s="12" t="str">
        <x:v>体制</x:v>
      </x:c>
      <x:c r="D16" s="15" t="str">
        <x:v>PG 5名＋Project Leader</x:v>
      </x:c>
      <x:c r="E16" s="15"/>
      <x:c r="F16" s="15"/>
    </x:row>
    <x:row r="17">
      <x:c r="C17" s="12" t="str">
        <x:v>作業単位</x:v>
      </x:c>
      <x:c r="D17" s="15" t="str">
        <x:v>100詳細設計書／300工程Task</x:v>
      </x:c>
      <x:c r="E17" s="15"/>
      <x:c r="F17" s="15"/>
    </x:row>
    <x:row r="20">
      <x:c r="B20" s="21" t="str">
        <x:v>厳格なウォーターフォール方式とし、全詳細設計承認後にCoding、全Coding承認後に単体テスト、単体テスト完了後に結合テストへ移行する。</x:v>
      </x:c>
      <x:c r="C20" s="21"/>
      <x:c r="D20" s="21"/>
      <x:c r="E20" s="21"/>
      <x:c r="F20" s="21"/>
      <x:c r="G20" s="21"/>
      <x:c r="H20" s="21"/>
      <x:c r="I20" s="21"/>
      <x:c r="J20" s="21"/>
    </x:row>
    <x:row r="21"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>
      <x:c r="B22" s="21"/>
      <x:c r="C22" s="21"/>
      <x:c r="D22" s="21"/>
      <x:c r="E22" s="21"/>
      <x:c r="F22" s="21"/>
      <x:c r="G22" s="21"/>
      <x:c r="H22" s="21"/>
      <x:c r="I22" s="21"/>
      <x:c r="J22" s="21"/>
    </x:row>
  </x:sheetData>
  <x:mergeCells>
    <x:mergeCell ref="B3:J5"/>
    <x:mergeCell ref="B8:J10"/>
    <x:mergeCell ref="B20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4" t="str">
        <x:v>改訂履歴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版数</x:v>
      </x:c>
      <x:c r="B6" s="33" t="str">
        <x:v>改訂日</x:v>
      </x:c>
      <x:c r="C6" s="33" t="str">
        <x:v>改訂内容</x:v>
      </x:c>
      <x:c r="D6" s="33" t="str">
        <x:v>作成者</x:v>
      </x:c>
      <x:c r="E6" s="33" t="str">
        <x:v>Reviewer</x:v>
      </x:c>
      <x:c r="F6" s="33" t="str">
        <x:v>承認状態</x:v>
      </x:c>
      <x:c r="G6" s="33" t="str">
        <x:v>承認日</x:v>
      </x:c>
      <x:c r="H6" s="33" t="str">
        <x:v>備考</x:v>
      </x:c>
    </x:row>
    <x:row r="7">
      <x:c r="A7" s="37" t="str">
        <x:v>1.0</x:v>
      </x:c>
      <x:c r="B7" s="38" t="n">
        <x:v>46246</x:v>
      </x:c>
      <x:c r="C7" s="37" t="str">
        <x:v>初版作成：詳細設計書単位の開発Schedule</x:v>
      </x:c>
      <x:c r="D7" s="37" t="str">
        <x:v>Project Leader</x:v>
      </x:c>
      <x:c r="E7" s="37" t="str">
        <x:v>-</x:v>
      </x:c>
      <x:c r="F7" s="37" t="str">
        <x:v>旧版</x:v>
      </x:c>
      <x:c r="G7" s="38"/>
      <x:c r="H7" s="37" t="str">
        <x:v>基本設計Ver.1.8基準</x:v>
      </x:c>
    </x:row>
    <x:row r="8">
      <x:c r="A8" s="37" t="str">
        <x:v>1.1</x:v>
      </x:c>
      <x:c r="B8" s="38" t="n">
        <x:v>46247</x:v>
      </x:c>
      <x:c r="C8" s="37" t="str">
        <x:v>厳格Waterfallを維持し、単位工数・工程Gate・結合テストを8か月目標へ再計画</x:v>
      </x:c>
      <x:c r="D8" s="37" t="str">
        <x:v>Project Leader</x:v>
      </x:c>
      <x:c r="E8" s="37" t="str">
        <x:v>-</x:v>
      </x:c>
      <x:c r="F8" s="37" t="str">
        <x:v>レビュー待ち</x:v>
      </x:c>
      <x:c r="G8" s="38"/>
      <x:c r="H8" s="37" t="str">
        <x:v>126 WP・担当関係は変更なし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64" hidden="0" customWidth="1"/>
    <x:col min="5" max="5" width="24" hidden="0" customWidth="1"/>
    <x:col min="6" max="6" width="32" hidden="0" customWidth="1"/>
  </x:cols>
  <x:sheetData>
    <x:row r="1">
      <x:c r="A1" s="24" t="str">
        <x:v>前提条件・体制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>
        <x:v>日本Projectでの機能担当制・工程Gate方式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No.</x:v>
      </x:c>
      <x:c r="B6" s="33" t="str">
        <x:v>分類</x:v>
      </x:c>
      <x:c r="C6" s="33" t="str">
        <x:v>項目</x:v>
      </x:c>
      <x:c r="D6" s="33" t="str">
        <x:v>内容</x:v>
      </x:c>
      <x:c r="E6" s="33" t="str">
        <x:v>管理方法</x:v>
      </x:c>
      <x:c r="F6" s="33" t="str">
        <x:v>備考</x:v>
      </x:c>
    </x:row>
    <x:row r="7">
      <x:c r="A7" s="37" t="n">
        <x:v>1</x:v>
      </x:c>
      <x:c r="B7" s="37" t="str">
        <x:v>体制</x:v>
      </x:c>
      <x:c r="C7" s="37" t="str">
        <x:v>開発担当</x:v>
      </x:c>
      <x:c r="D7" s="37" t="str">
        <x:v>PG-01～PG-05の5名。各Work Packageを詳細設計から単体テストまで同一PGが担当</x:v>
      </x:c>
      <x:c r="E7" s="37" t="str">
        <x:v>機能担当制</x:v>
      </x:c>
      <x:c r="F7" s="37" t="str">
        <x:v>Project Leaderは全工程Review</x:v>
      </x:c>
    </x:row>
    <x:row r="8">
      <x:c r="A8" s="37" t="n">
        <x:v>2</x:v>
      </x:c>
      <x:c r="B8" s="37" t="str">
        <x:v>作業単位</x:v>
      </x:c>
      <x:c r="C8" s="37" t="str">
        <x:v>Work Package</x:v>
      </x:c>
      <x:c r="D8" s="37" t="str">
        <x:v>1詳細設計書＝1 Work Package。詳細設計・Coding・単体テストを各1 Taskとして登録</x:v>
      </x:c>
      <x:c r="E8" s="37" t="str">
        <x:v>3 Task/WP</x:v>
      </x:c>
      <x:c r="F8" s="37" t="str">
        <x:v>100 WP／300 Task</x:v>
      </x:c>
    </x:row>
    <x:row r="9">
      <x:c r="A9" s="37" t="n">
        <x:v>3</x:v>
      </x:c>
      <x:c r="B9" s="37" t="str">
        <x:v>Frontend</x:v>
      </x:c>
      <x:c r="C9" s="37" t="str">
        <x:v>Vue/React Route</x:v>
      </x:c>
      <x:c r="D9" s="37" t="str">
        <x:v>各画面はVueまたはReactのいずれか一方で実装する。PG-01/02/05=Vue、PG-03/04=React</x:v>
      </x:c>
      <x:c r="E9" s="37" t="str">
        <x:v>技術Route別成果物</x:v>
      </x:c>
      <x:c r="F9" s="37" t="str">
        <x:v>同一画面の二重実装は行わない</x:v>
      </x:c>
    </x:row>
    <x:row r="10">
      <x:c r="A10" s="37" t="n">
        <x:v>4</x:v>
      </x:c>
      <x:c r="B10" s="37" t="str">
        <x:v>Backend</x:v>
      </x:c>
      <x:c r="C10" s="37" t="str">
        <x:v>API</x:v>
      </x:c>
      <x:c r="D10" s="37" t="str">
        <x:v>62 APIをAPI ID単位で管理。SQL・Transaction・ExceptionはAPI詳細設計に含める</x:v>
      </x:c>
      <x:c r="E10" s="37" t="str">
        <x:v>API単位</x:v>
      </x:c>
      <x:c r="F10" s="37" t="str">
        <x:v>DB単独詳設は作成しない</x:v>
      </x:c>
    </x:row>
    <x:row r="11">
      <x:c r="A11" s="37" t="n">
        <x:v>5</x:v>
      </x:c>
      <x:c r="B11" s="37" t="str">
        <x:v>共通/Batch</x:v>
      </x:c>
      <x:c r="C11" s="37" t="str">
        <x:v>対象</x:v>
      </x:c>
      <x:c r="D11" s="37" t="str">
        <x:v>Frontend共通、Backend共通、Security、File、Redis、6 Batchを独立Work Package化</x:v>
      </x:c>
      <x:c r="E11" s="37" t="str">
        <x:v>共通詳設/Batch詳設</x:v>
      </x:c>
      <x:c r="F11" s="37" t="str">
        <x:v>横断機能の担当漏れ防止</x:v>
      </x:c>
    </x:row>
    <x:row r="12">
      <x:c r="A12" s="37" t="n">
        <x:v>6</x:v>
      </x:c>
      <x:c r="B12" s="37" t="str">
        <x:v>稼働日</x:v>
      </x:c>
      <x:c r="C12" s="37" t="str">
        <x:v>Calendar</x:v>
      </x:c>
      <x:c r="D12" s="37" t="str">
        <x:v>土日および日本の国民の祝日・休日を除外</x:v>
      </x:c>
      <x:c r="E12" s="37" t="str">
        <x:v>7時間/人日で計画</x:v>
      </x:c>
      <x:c r="F12" s="37" t="str">
        <x:v>残り1時間は教育・会議・日次報告Buffer</x:v>
      </x:c>
    </x:row>
    <x:row r="13">
      <x:c r="A13" s="37" t="n">
        <x:v>7</x:v>
      </x:c>
      <x:c r="B13" s="37" t="str">
        <x:v>工程Gate</x:v>
      </x:c>
      <x:c r="C13" s="37" t="str">
        <x:v>移行条件</x:v>
      </x:c>
      <x:c r="D13" s="37" t="str">
        <x:v>全詳細設計Review完了後にCoding、全Coding Review完了後に単体テスト、UT完了後に結合テストへ移行</x:v>
      </x:c>
      <x:c r="E13" s="37" t="str">
        <x:v>Project Leader承認</x:v>
      </x:c>
      <x:c r="F13" s="37" t="str">
        <x:v>重大指摘未解決時は次工程不可</x:v>
      </x:c>
    </x:row>
    <x:row r="14">
      <x:c r="A14" s="37" t="n">
        <x:v>8</x:v>
      </x:c>
      <x:c r="B14" s="37" t="str">
        <x:v>Review</x:v>
      </x:c>
      <x:c r="C14" s="37" t="str">
        <x:v>管理</x:v>
      </x:c>
      <x:c r="D14" s="37" t="str">
        <x:v>Task内にReview工数を別列で管理。成果物承認までTaskは完了扱いにしない</x:v>
      </x:c>
      <x:c r="E14" s="37" t="str">
        <x:v>Reviewer=Project Leader</x:v>
      </x:c>
      <x:c r="F14" s="37" t="str">
        <x:v>再Reviewは実績工数へ加算</x:v>
      </x:c>
    </x:row>
    <x:row r="15">
      <x:c r="A15" s="37" t="n">
        <x:v>9</x:v>
      </x:c>
      <x:c r="B15" s="37" t="str">
        <x:v>状態</x:v>
      </x:c>
      <x:c r="C15" s="37" t="str">
        <x:v>Task状態</x:v>
      </x:c>
      <x:c r="D15" s="37" t="str">
        <x:v>未着手／作業中／Review待ち／修正中／完了／保留</x:v>
      </x:c>
      <x:c r="E15" s="37" t="str">
        <x:v>Data Validation</x:v>
      </x:c>
      <x:c r="F15" s="37" t="str">
        <x:v>進捗率は状態と連動</x:v>
      </x:c>
    </x:row>
    <x:row r="16">
      <x:c r="A16" s="37" t="n">
        <x:v>10</x:v>
      </x:c>
      <x:c r="B16" s="37" t="str">
        <x:v>工数基準</x:v>
      </x:c>
      <x:c r="C16" s="37" t="str">
        <x:v>難易度別</x:v>
      </x:c>
      <x:c r="D16" s="37" t="str">
        <x:v>詳細設計=1/2/3日、Coding=2/3/4日、単体テスト=1/2/3日</x:v>
      </x:c>
      <x:c r="E16" s="37" t="str">
        <x:v>低/中/高</x:v>
      </x:c>
      <x:c r="F16" s="37" t="str">
        <x:v>Review修正は工程Gateで吸収</x:v>
      </x:c>
    </x:row>
    <x:row r="17">
      <x:c r="A17" s="37" t="n">
        <x:v>11</x:v>
      </x:c>
      <x:c r="B17" s="37" t="str">
        <x:v>結合テスト</x:v>
      </x:c>
      <x:c r="C17" s="37" t="str">
        <x:v>期間</x:v>
      </x:c>
      <x:c r="D17" s="37" t="str">
        <x:v>単体テスト工程Gate通過後20営業日</x:v>
      </x:c>
      <x:c r="E17" s="37" t="str">
        <x:v>Project全体</x:v>
      </x:c>
      <x:c r="F17" s="37" t="str">
        <x:v>画面/API/DB/権限/Batchの業務シナリオ</x:v>
      </x:c>
    </x:row>
    <x:row r="18">
      <x:c r="A18" s="37" t="n">
        <x:v>12</x:v>
      </x:c>
      <x:c r="B18" s="37" t="str">
        <x:v>休日Source</x:v>
      </x:c>
      <x:c r="C18" s="37" t="str">
        <x:v>公式情報</x:v>
      </x:c>
      <x:c r="D18" s="37" t="str">
        <x:v>https://www8.cao.go.jp/chosei/shukujitsu/gaiyou.html</x:v>
      </x:c>
      <x:c r="E18" s="37" t="str">
        <x:v>内閣府</x:v>
      </x:c>
      <x:c r="F18" s="37" t="str">
        <x:v>2026年・2027年の国民の祝日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20" hidden="0" customWidth="1"/>
    <x:col min="4" max="4" width="42" hidden="0" customWidth="1"/>
    <x:col min="5" max="5" width="32" hidden="0" customWidth="1"/>
    <x:col min="6" max="6" width="10" hidden="0" customWidth="1"/>
    <x:col min="7" max="7" width="14" hidden="0" customWidth="1"/>
    <x:col min="8" max="8" width="18" hidden="0" customWidth="1"/>
    <x:col min="9" max="9" width="10" hidden="0" customWidth="1"/>
    <x:col min="10" max="10" width="9" hidden="0" customWidth="1"/>
    <x:col min="11" max="11" width="34" hidden="0" customWidth="1"/>
    <x:col min="12" max="12" width="42" hidden="0" customWidth="1"/>
    <x:col min="13" max="13" width="10" hidden="0" customWidth="1"/>
    <x:col min="14" max="14" width="12" hidden="0" customWidth="1"/>
    <x:col min="15" max="15" width="10" hidden="0" customWidth="1"/>
    <x:col min="16" max="16" width="11" hidden="0" customWidth="1"/>
  </x:cols>
  <x:sheetData>
    <x:row r="1">
      <x:c r="A1" s="24" t="str">
        <x:v>Work Package一覧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>
        <x:v>1詳細設計書＝1 Work Package（100件）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No.</x:v>
      </x:c>
      <x:c r="B6" s="33" t="str">
        <x:v>WP ID</x:v>
      </x:c>
      <x:c r="C6" s="33" t="str">
        <x:v>詳細設計ID</x:v>
      </x:c>
      <x:c r="D6" s="33" t="str">
        <x:v>詳細設計書名</x:v>
      </x:c>
      <x:c r="E6" s="33" t="str">
        <x:v>機能名</x:v>
      </x:c>
      <x:c r="F6" s="33" t="str">
        <x:v>分類</x:v>
      </x:c>
      <x:c r="G6" s="33" t="str">
        <x:v>技術</x:v>
      </x:c>
      <x:c r="H6" s="33" t="str">
        <x:v>Module</x:v>
      </x:c>
      <x:c r="I6" s="33" t="str">
        <x:v>担当</x:v>
      </x:c>
      <x:c r="J6" s="33" t="str">
        <x:v>難易度</x:v>
      </x:c>
      <x:c r="K6" s="33" t="str">
        <x:v>参照基本設計</x:v>
      </x:c>
      <x:c r="L6" s="33" t="str">
        <x:v>処理概要/備考</x:v>
      </x:c>
      <x:c r="M6" s="33" t="str">
        <x:v>DD工数</x:v>
      </x:c>
      <x:c r="N6" s="33" t="str">
        <x:v>Coding工数</x:v>
      </x:c>
      <x:c r="O6" s="33" t="str">
        <x:v>UT工数</x:v>
      </x:c>
      <x:c r="P6" s="33" t="str">
        <x:v>合計工数</x:v>
      </x:c>
    </x:row>
    <x:row r="7">
      <x:c r="A7" s="37" t="n">
        <x:v>1</x:v>
      </x:c>
      <x:c r="B7" s="37" t="str">
        <x:v>WP-001</x:v>
      </x:c>
      <x:c r="C7" s="37" t="str">
        <x:v>COM-BE-001</x:v>
      </x:c>
      <x:c r="D7" s="37" t="str">
        <x:v>COM-BE-001_Backend共通基盤詳細設計書.xlsx</x:v>
      </x:c>
      <x:c r="E7" s="37" t="str">
        <x:v>Backend共通基盤</x:v>
      </x:c>
      <x:c r="F7" s="37" t="str">
        <x:v>共通</x:v>
      </x:c>
      <x:c r="G7" s="37" t="str">
        <x:v>Backend/共通</x:v>
      </x:c>
      <x:c r="H7" s="37" t="str">
        <x:v>共通</x:v>
      </x:c>
      <x:c r="I7" s="37" t="str">
        <x:v>PG-01</x:v>
      </x:c>
      <x:c r="J7" s="37" t="str">
        <x:v>高</x:v>
      </x:c>
      <x:c r="K7" s="37" t="str">
        <x:v>03/20/21 基本設計</x:v>
      </x:c>
      <x:c r="L7" s="37" t="str">
        <x:v>共通Response・例外・Validation・Audit</x:v>
      </x:c>
      <x:c r="M7" s="39" t="n">
        <x:v>21</x:v>
      </x:c>
      <x:c r="N7" s="39" t="n">
        <x:v>28</x:v>
      </x:c>
      <x:c r="O7" s="39" t="n">
        <x:v>21</x:v>
      </x:c>
      <x:c r="P7" s="39" t="n">
        <x:v>70</x:v>
      </x:c>
    </x:row>
    <x:row r="8">
      <x:c r="A8" s="37" t="n">
        <x:v>2</x:v>
      </x:c>
      <x:c r="B8" s="37" t="str">
        <x:v>WP-002</x:v>
      </x:c>
      <x:c r="C8" s="37" t="str">
        <x:v>COM-SEC-001</x:v>
      </x:c>
      <x:c r="D8" s="37" t="str">
        <x:v>COM-SEC-001_認証・Security共通詳細設計書.xlsx</x:v>
      </x:c>
      <x:c r="E8" s="37" t="str">
        <x:v>認証・Security共通</x:v>
      </x:c>
      <x:c r="F8" s="37" t="str">
        <x:v>共通</x:v>
      </x:c>
      <x:c r="G8" s="37" t="str">
        <x:v>Backend/共通</x:v>
      </x:c>
      <x:c r="H8" s="37" t="str">
        <x:v>共通</x:v>
      </x:c>
      <x:c r="I8" s="37" t="str">
        <x:v>PG-01</x:v>
      </x:c>
      <x:c r="J8" s="37" t="str">
        <x:v>高</x:v>
      </x:c>
      <x:c r="K8" s="37" t="str">
        <x:v>03/20/21 基本設計</x:v>
      </x:c>
      <x:c r="L8" s="37" t="str">
        <x:v>JWT Filter・Permission判定・Password</x:v>
      </x:c>
      <x:c r="M8" s="39" t="n">
        <x:v>21</x:v>
      </x:c>
      <x:c r="N8" s="39" t="n">
        <x:v>28</x:v>
      </x:c>
      <x:c r="O8" s="39" t="n">
        <x:v>21</x:v>
      </x:c>
      <x:c r="P8" s="39" t="n">
        <x:v>70</x:v>
      </x:c>
    </x:row>
    <x:row r="9">
      <x:c r="A9" s="37" t="n">
        <x:v>3</x:v>
      </x:c>
      <x:c r="B9" s="37" t="str">
        <x:v>WP-003</x:v>
      </x:c>
      <x:c r="C9" s="37" t="str">
        <x:v>COM-VUE-001</x:v>
      </x:c>
      <x:c r="D9" s="37" t="str">
        <x:v>COM-VUE-001_Vue共通基盤詳細設計書.xlsx</x:v>
      </x:c>
      <x:c r="E9" s="37" t="str">
        <x:v>Vue共通基盤</x:v>
      </x:c>
      <x:c r="F9" s="37" t="str">
        <x:v>共通</x:v>
      </x:c>
      <x:c r="G9" s="37" t="str">
        <x:v>Backend/共通</x:v>
      </x:c>
      <x:c r="H9" s="37" t="str">
        <x:v>共通</x:v>
      </x:c>
      <x:c r="I9" s="37" t="str">
        <x:v>PG-02</x:v>
      </x:c>
      <x:c r="J9" s="37" t="str">
        <x:v>中</x:v>
      </x:c>
      <x:c r="K9" s="37" t="str">
        <x:v>03/20/21 基本設計</x:v>
      </x:c>
      <x:c r="L9" s="37" t="str">
        <x:v>Router・Axios・Pinia・Vuetify共通</x:v>
      </x:c>
      <x:c r="M9" s="39" t="n">
        <x:v>14</x:v>
      </x:c>
      <x:c r="N9" s="39" t="n">
        <x:v>21</x:v>
      </x:c>
      <x:c r="O9" s="39" t="n">
        <x:v>14</x:v>
      </x:c>
      <x:c r="P9" s="39" t="n">
        <x:v>49</x:v>
      </x:c>
    </x:row>
    <x:row r="10">
      <x:c r="A10" s="37" t="n">
        <x:v>4</x:v>
      </x:c>
      <x:c r="B10" s="37" t="str">
        <x:v>WP-004</x:v>
      </x:c>
      <x:c r="C10" s="37" t="str">
        <x:v>COM-REACT-001</x:v>
      </x:c>
      <x:c r="D10" s="37" t="str">
        <x:v>COM-REACT-001_React共通基盤詳細設計書.xlsx</x:v>
      </x:c>
      <x:c r="E10" s="37" t="str">
        <x:v>React共通基盤</x:v>
      </x:c>
      <x:c r="F10" s="37" t="str">
        <x:v>共通</x:v>
      </x:c>
      <x:c r="G10" s="37" t="str">
        <x:v>Backend/共通</x:v>
      </x:c>
      <x:c r="H10" s="37" t="str">
        <x:v>共通</x:v>
      </x:c>
      <x:c r="I10" s="37" t="str">
        <x:v>PG-03</x:v>
      </x:c>
      <x:c r="J10" s="37" t="str">
        <x:v>中</x:v>
      </x:c>
      <x:c r="K10" s="37" t="str">
        <x:v>03/20/21 基本設計</x:v>
      </x:c>
      <x:c r="L10" s="37" t="str">
        <x:v>Router・Axios・State・MUI共通</x:v>
      </x:c>
      <x:c r="M10" s="39" t="n">
        <x:v>14</x:v>
      </x:c>
      <x:c r="N10" s="39" t="n">
        <x:v>21</x:v>
      </x:c>
      <x:c r="O10" s="39" t="n">
        <x:v>14</x:v>
      </x:c>
      <x:c r="P10" s="39" t="n">
        <x:v>49</x:v>
      </x:c>
    </x:row>
    <x:row r="11">
      <x:c r="A11" s="37" t="n">
        <x:v>5</x:v>
      </x:c>
      <x:c r="B11" s="37" t="str">
        <x:v>WP-005</x:v>
      </x:c>
      <x:c r="C11" s="37" t="str">
        <x:v>COM-FILE-001</x:v>
      </x:c>
      <x:c r="D11" s="37" t="str">
        <x:v>COM-FILE-001_File共通処理詳細設計書.xlsx</x:v>
      </x:c>
      <x:c r="E11" s="37" t="str">
        <x:v>File共通処理</x:v>
      </x:c>
      <x:c r="F11" s="37" t="str">
        <x:v>共通</x:v>
      </x:c>
      <x:c r="G11" s="37" t="str">
        <x:v>Backend/共通</x:v>
      </x:c>
      <x:c r="H11" s="37" t="str">
        <x:v>共通</x:v>
      </x:c>
      <x:c r="I11" s="37" t="str">
        <x:v>PG-04</x:v>
      </x:c>
      <x:c r="J11" s="37" t="str">
        <x:v>高</x:v>
      </x:c>
      <x:c r="K11" s="37" t="str">
        <x:v>03/20/21 基本設計</x:v>
      </x:c>
      <x:c r="L11" s="37" t="str">
        <x:v>Upload・Download・削除・Retry</x:v>
      </x:c>
      <x:c r="M11" s="39" t="n">
        <x:v>21</x:v>
      </x:c>
      <x:c r="N11" s="39" t="n">
        <x:v>28</x:v>
      </x:c>
      <x:c r="O11" s="39" t="n">
        <x:v>21</x:v>
      </x:c>
      <x:c r="P11" s="39" t="n">
        <x:v>70</x:v>
      </x:c>
    </x:row>
    <x:row r="12">
      <x:c r="A12" s="37" t="n">
        <x:v>6</x:v>
      </x:c>
      <x:c r="B12" s="37" t="str">
        <x:v>WP-006</x:v>
      </x:c>
      <x:c r="C12" s="37" t="str">
        <x:v>COM-REDIS-001</x:v>
      </x:c>
      <x:c r="D12" s="37" t="str">
        <x:v>COM-REDIS-001_Redis共通処理詳細設計書.xlsx</x:v>
      </x:c>
      <x:c r="E12" s="37" t="str">
        <x:v>Redis共通処理</x:v>
      </x:c>
      <x:c r="F12" s="37" t="str">
        <x:v>共通</x:v>
      </x:c>
      <x:c r="G12" s="37" t="str">
        <x:v>Backend/共通</x:v>
      </x:c>
      <x:c r="H12" s="37" t="str">
        <x:v>共通</x:v>
      </x:c>
      <x:c r="I12" s="37" t="str">
        <x:v>PG-05</x:v>
      </x:c>
      <x:c r="J12" s="37" t="str">
        <x:v>中</x:v>
      </x:c>
      <x:c r="K12" s="37" t="str">
        <x:v>03/20/21 基本設計</x:v>
      </x:c>
      <x:c r="L12" s="37" t="str">
        <x:v>Token・Lock・Cache Key</x:v>
      </x:c>
      <x:c r="M12" s="39" t="n">
        <x:v>14</x:v>
      </x:c>
      <x:c r="N12" s="39" t="n">
        <x:v>21</x:v>
      </x:c>
      <x:c r="O12" s="39" t="n">
        <x:v>14</x:v>
      </x:c>
      <x:c r="P12" s="39" t="n">
        <x:v>49</x:v>
      </x:c>
    </x:row>
    <x:row r="13">
      <x:c r="A13" s="37" t="n">
        <x:v>7</x:v>
      </x:c>
      <x:c r="B13" s="37" t="str">
        <x:v>WP-007</x:v>
      </x:c>
      <x:c r="C13" s="37" t="str">
        <x:v>API-AUTH-001</x:v>
      </x:c>
      <x:c r="D13" s="37" t="str">
        <x:v>API-AUTH-001_ログイン詳細設計書.xlsx</x:v>
      </x:c>
      <x:c r="E13" s="37" t="str">
        <x:v>ログイン</x:v>
      </x:c>
      <x:c r="F13" s="37" t="str">
        <x:v>API</x:v>
      </x:c>
      <x:c r="G13" s="37" t="str">
        <x:v>Spring Boot</x:v>
      </x:c>
      <x:c r="H13" s="37" t="str">
        <x:v>認証</x:v>
      </x:c>
      <x:c r="I13" s="37" t="str">
        <x:v>PG-01</x:v>
      </x:c>
      <x:c r="J13" s="37" t="str">
        <x:v>中</x:v>
      </x:c>
      <x:c r="K13" s="37" t="str">
        <x:v>10_API共通と認証_基本設計書.xlsx</x:v>
      </x:c>
      <x:c r="L13" s="37" t="str">
        <x:v>POST /api/v1/auth/login</x:v>
      </x:c>
      <x:c r="M13" s="39" t="n">
        <x:v>14</x:v>
      </x:c>
      <x:c r="N13" s="39" t="n">
        <x:v>21</x:v>
      </x:c>
      <x:c r="O13" s="39" t="n">
        <x:v>14</x:v>
      </x:c>
      <x:c r="P13" s="39" t="n">
        <x:v>49</x:v>
      </x:c>
    </x:row>
    <x:row r="14">
      <x:c r="A14" s="37" t="n">
        <x:v>8</x:v>
      </x:c>
      <x:c r="B14" s="37" t="str">
        <x:v>WP-008</x:v>
      </x:c>
      <x:c r="C14" s="37" t="str">
        <x:v>API-AUTH-002</x:v>
      </x:c>
      <x:c r="D14" s="37" t="str">
        <x:v>API-AUTH-002_ログアウト詳細設計書.xlsx</x:v>
      </x:c>
      <x:c r="E14" s="37" t="str">
        <x:v>ログアウト</x:v>
      </x:c>
      <x:c r="F14" s="37" t="str">
        <x:v>API</x:v>
      </x:c>
      <x:c r="G14" s="37" t="str">
        <x:v>Spring Boot</x:v>
      </x:c>
      <x:c r="H14" s="37" t="str">
        <x:v>認証</x:v>
      </x:c>
      <x:c r="I14" s="37" t="str">
        <x:v>PG-01</x:v>
      </x:c>
      <x:c r="J14" s="37" t="str">
        <x:v>中</x:v>
      </x:c>
      <x:c r="K14" s="37" t="str">
        <x:v>10_API共通と認証_基本設計書.xlsx</x:v>
      </x:c>
      <x:c r="L14" s="37" t="str">
        <x:v>POST /api/v1/auth/logout</x:v>
      </x:c>
      <x:c r="M14" s="39" t="n">
        <x:v>14</x:v>
      </x:c>
      <x:c r="N14" s="39" t="n">
        <x:v>21</x:v>
      </x:c>
      <x:c r="O14" s="39" t="n">
        <x:v>14</x:v>
      </x:c>
      <x:c r="P14" s="39" t="n">
        <x:v>49</x:v>
      </x:c>
    </x:row>
    <x:row r="15">
      <x:c r="A15" s="37" t="n">
        <x:v>9</x:v>
      </x:c>
      <x:c r="B15" s="37" t="str">
        <x:v>WP-009</x:v>
      </x:c>
      <x:c r="C15" s="37" t="str">
        <x:v>API-AUTH-003</x:v>
      </x:c>
      <x:c r="D15" s="37" t="str">
        <x:v>API-AUTH-003_Token更新詳細設計書.xlsx</x:v>
      </x:c>
      <x:c r="E15" s="37" t="str">
        <x:v>Token更新</x:v>
      </x:c>
      <x:c r="F15" s="37" t="str">
        <x:v>API</x:v>
      </x:c>
      <x:c r="G15" s="37" t="str">
        <x:v>Spring Boot</x:v>
      </x:c>
      <x:c r="H15" s="37" t="str">
        <x:v>認証</x:v>
      </x:c>
      <x:c r="I15" s="37" t="str">
        <x:v>PG-01</x:v>
      </x:c>
      <x:c r="J15" s="37" t="str">
        <x:v>高</x:v>
      </x:c>
      <x:c r="K15" s="37" t="str">
        <x:v>10_API共通と認証_基本設計書.xlsx</x:v>
      </x:c>
      <x:c r="L15" s="37" t="str">
        <x:v>POST /api/v1/auth/refresh</x:v>
      </x:c>
      <x:c r="M15" s="39" t="n">
        <x:v>21</x:v>
      </x:c>
      <x:c r="N15" s="39" t="n">
        <x:v>28</x:v>
      </x:c>
      <x:c r="O15" s="39" t="n">
        <x:v>21</x:v>
      </x:c>
      <x:c r="P15" s="39" t="n">
        <x:v>70</x:v>
      </x:c>
    </x:row>
    <x:row r="16">
      <x:c r="A16" s="37" t="n">
        <x:v>10</x:v>
      </x:c>
      <x:c r="B16" s="37" t="str">
        <x:v>WP-010</x:v>
      </x:c>
      <x:c r="C16" s="37" t="str">
        <x:v>API-AUTH-004</x:v>
      </x:c>
      <x:c r="D16" s="37" t="str">
        <x:v>API-AUTH-004_現在ユーザー取得詳細設計書.xlsx</x:v>
      </x:c>
      <x:c r="E16" s="37" t="str">
        <x:v>現在ユーザー取得</x:v>
      </x:c>
      <x:c r="F16" s="37" t="str">
        <x:v>API</x:v>
      </x:c>
      <x:c r="G16" s="37" t="str">
        <x:v>Spring Boot</x:v>
      </x:c>
      <x:c r="H16" s="37" t="str">
        <x:v>認証</x:v>
      </x:c>
      <x:c r="I16" s="37" t="str">
        <x:v>PG-01</x:v>
      </x:c>
      <x:c r="J16" s="37" t="str">
        <x:v>低</x:v>
      </x:c>
      <x:c r="K16" s="37" t="str">
        <x:v>10_API共通と認証_基本設計書.xlsx</x:v>
      </x:c>
      <x:c r="L16" s="37" t="str">
        <x:v>GET /api/v1/auth/me</x:v>
      </x:c>
      <x:c r="M16" s="39" t="n">
        <x:v>7</x:v>
      </x:c>
      <x:c r="N16" s="39" t="n">
        <x:v>14</x:v>
      </x:c>
      <x:c r="O16" s="39" t="n">
        <x:v>7</x:v>
      </x:c>
      <x:c r="P16" s="39" t="n">
        <x:v>28</x:v>
      </x:c>
    </x:row>
    <x:row r="17">
      <x:c r="A17" s="37" t="n">
        <x:v>11</x:v>
      </x:c>
      <x:c r="B17" s="37" t="str">
        <x:v>WP-011</x:v>
      </x:c>
      <x:c r="C17" s="37" t="str">
        <x:v>API-AUTH-005</x:v>
      </x:c>
      <x:c r="D17" s="37" t="str">
        <x:v>API-AUTH-005_パスワード変更詳細設計書.xlsx</x:v>
      </x:c>
      <x:c r="E17" s="37" t="str">
        <x:v>パスワード変更</x:v>
      </x:c>
      <x:c r="F17" s="37" t="str">
        <x:v>API</x:v>
      </x:c>
      <x:c r="G17" s="37" t="str">
        <x:v>Spring Boot</x:v>
      </x:c>
      <x:c r="H17" s="37" t="str">
        <x:v>認証</x:v>
      </x:c>
      <x:c r="I17" s="37" t="str">
        <x:v>PG-01</x:v>
      </x:c>
      <x:c r="J17" s="37" t="str">
        <x:v>中</x:v>
      </x:c>
      <x:c r="K17" s="37" t="str">
        <x:v>10_API共通と認証_基本設計書.xlsx</x:v>
      </x:c>
      <x:c r="L17" s="37" t="str">
        <x:v>PUT /api/v1/auth/password</x:v>
      </x:c>
      <x:c r="M17" s="39" t="n">
        <x:v>14</x:v>
      </x:c>
      <x:c r="N17" s="39" t="n">
        <x:v>21</x:v>
      </x:c>
      <x:c r="O17" s="39" t="n">
        <x:v>14</x:v>
      </x:c>
      <x:c r="P17" s="39" t="n">
        <x:v>49</x:v>
      </x:c>
    </x:row>
    <x:row r="18">
      <x:c r="A18" s="37" t="n">
        <x:v>12</x:v>
      </x:c>
      <x:c r="B18" s="37" t="str">
        <x:v>WP-012</x:v>
      </x:c>
      <x:c r="C18" s="37" t="str">
        <x:v>API-DASH-001</x:v>
      </x:c>
      <x:c r="D18" s="37" t="str">
        <x:v>API-DASH-001_ホーム集計取得詳細設計書.xlsx</x:v>
      </x:c>
      <x:c r="E18" s="37" t="str">
        <x:v>ホーム集計取得</x:v>
      </x:c>
      <x:c r="F18" s="37" t="str">
        <x:v>API</x:v>
      </x:c>
      <x:c r="G18" s="37" t="str">
        <x:v>Spring Boot</x:v>
      </x:c>
      <x:c r="H18" s="37" t="str">
        <x:v>ホーム</x:v>
      </x:c>
      <x:c r="I18" s="37" t="str">
        <x:v>PG-01</x:v>
      </x:c>
      <x:c r="J18" s="37" t="str">
        <x:v>低</x:v>
      </x:c>
      <x:c r="K18" s="37" t="str">
        <x:v>10_API共通と認証_基本設計書.xlsx</x:v>
      </x:c>
      <x:c r="L18" s="37" t="str">
        <x:v>GET /api/v1/dashboard/summary</x:v>
      </x:c>
      <x:c r="M18" s="39" t="n">
        <x:v>7</x:v>
      </x:c>
      <x:c r="N18" s="39" t="n">
        <x:v>14</x:v>
      </x:c>
      <x:c r="O18" s="39" t="n">
        <x:v>7</x:v>
      </x:c>
      <x:c r="P18" s="39" t="n">
        <x:v>28</x:v>
      </x:c>
    </x:row>
    <x:row r="19">
      <x:c r="A19" s="37" t="n">
        <x:v>13</x:v>
      </x:c>
      <x:c r="B19" s="37" t="str">
        <x:v>WP-013</x:v>
      </x:c>
      <x:c r="C19" s="37" t="str">
        <x:v>API-MST-001</x:v>
      </x:c>
      <x:c r="D19" s="37" t="str">
        <x:v>API-MST-001_部門選択肢詳細設計書.xlsx</x:v>
      </x:c>
      <x:c r="E19" s="37" t="str">
        <x:v>部門選択肢</x:v>
      </x:c>
      <x:c r="F19" s="37" t="str">
        <x:v>API</x:v>
      </x:c>
      <x:c r="G19" s="37" t="str">
        <x:v>Spring Boot</x:v>
      </x:c>
      <x:c r="H19" s="37" t="str">
        <x:v>共通Master</x:v>
      </x:c>
      <x:c r="I19" s="37" t="str">
        <x:v>PG-01</x:v>
      </x:c>
      <x:c r="J19" s="37" t="str">
        <x:v>低</x:v>
      </x:c>
      <x:c r="K19" s="37" t="str">
        <x:v>10_API共通と認証_基本設計書.xlsx</x:v>
      </x:c>
      <x:c r="L19" s="37" t="str">
        <x:v>GET /api/v1/masters/departments</x:v>
      </x:c>
      <x:c r="M19" s="39" t="n">
        <x:v>7</x:v>
      </x:c>
      <x:c r="N19" s="39" t="n">
        <x:v>14</x:v>
      </x:c>
      <x:c r="O19" s="39" t="n">
        <x:v>7</x:v>
      </x:c>
      <x:c r="P19" s="39" t="n">
        <x:v>28</x:v>
      </x:c>
    </x:row>
    <x:row r="20">
      <x:c r="A20" s="37" t="n">
        <x:v>14</x:v>
      </x:c>
      <x:c r="B20" s="37" t="str">
        <x:v>WP-014</x:v>
      </x:c>
      <x:c r="C20" s="37" t="str">
        <x:v>API-MST-002</x:v>
      </x:c>
      <x:c r="D20" s="37" t="str">
        <x:v>API-MST-002_社員選択肢詳細設計書.xlsx</x:v>
      </x:c>
      <x:c r="E20" s="37" t="str">
        <x:v>社員選択肢</x:v>
      </x:c>
      <x:c r="F20" s="37" t="str">
        <x:v>API</x:v>
      </x:c>
      <x:c r="G20" s="37" t="str">
        <x:v>Spring Boot</x:v>
      </x:c>
      <x:c r="H20" s="37" t="str">
        <x:v>共通Master</x:v>
      </x:c>
      <x:c r="I20" s="37" t="str">
        <x:v>PG-01</x:v>
      </x:c>
      <x:c r="J20" s="37" t="str">
        <x:v>低</x:v>
      </x:c>
      <x:c r="K20" s="37" t="str">
        <x:v>10_API共通と認証_基本設計書.xlsx</x:v>
      </x:c>
      <x:c r="L20" s="37" t="str">
        <x:v>GET /api/v1/masters/employees</x:v>
      </x:c>
      <x:c r="M20" s="39" t="n">
        <x:v>7</x:v>
      </x:c>
      <x:c r="N20" s="39" t="n">
        <x:v>14</x:v>
      </x:c>
      <x:c r="O20" s="39" t="n">
        <x:v>7</x:v>
      </x:c>
      <x:c r="P20" s="39" t="n">
        <x:v>28</x:v>
      </x:c>
    </x:row>
    <x:row r="21">
      <x:c r="A21" s="37" t="n">
        <x:v>15</x:v>
      </x:c>
      <x:c r="B21" s="37" t="str">
        <x:v>WP-015</x:v>
      </x:c>
      <x:c r="C21" s="37" t="str">
        <x:v>API-MST-003</x:v>
      </x:c>
      <x:c r="D21" s="37" t="str">
        <x:v>API-MST-003_PJ選択肢詳細設計書.xlsx</x:v>
      </x:c>
      <x:c r="E21" s="37" t="str">
        <x:v>PJ選択肢</x:v>
      </x:c>
      <x:c r="F21" s="37" t="str">
        <x:v>API</x:v>
      </x:c>
      <x:c r="G21" s="37" t="str">
        <x:v>Spring Boot</x:v>
      </x:c>
      <x:c r="H21" s="37" t="str">
        <x:v>共通Master</x:v>
      </x:c>
      <x:c r="I21" s="37" t="str">
        <x:v>PG-01</x:v>
      </x:c>
      <x:c r="J21" s="37" t="str">
        <x:v>低</x:v>
      </x:c>
      <x:c r="K21" s="37" t="str">
        <x:v>10_API共通と認証_基本設計書.xlsx</x:v>
      </x:c>
      <x:c r="L21" s="37" t="str">
        <x:v>GET /api/v1/masters/projects</x:v>
      </x:c>
      <x:c r="M21" s="39" t="n">
        <x:v>7</x:v>
      </x:c>
      <x:c r="N21" s="39" t="n">
        <x:v>14</x:v>
      </x:c>
      <x:c r="O21" s="39" t="n">
        <x:v>7</x:v>
      </x:c>
      <x:c r="P21" s="39" t="n">
        <x:v>28</x:v>
      </x:c>
    </x:row>
    <x:row r="22">
      <x:c r="A22" s="37" t="n">
        <x:v>16</x:v>
      </x:c>
      <x:c r="B22" s="37" t="str">
        <x:v>WP-016</x:v>
      </x:c>
      <x:c r="C22" s="37" t="str">
        <x:v>API-MST-004</x:v>
      </x:c>
      <x:c r="D22" s="37" t="str">
        <x:v>API-MST-004_Role/権限選択肢詳細設計書.xlsx</x:v>
      </x:c>
      <x:c r="E22" s="37" t="str">
        <x:v>Role/権限選択肢</x:v>
      </x:c>
      <x:c r="F22" s="37" t="str">
        <x:v>API</x:v>
      </x:c>
      <x:c r="G22" s="37" t="str">
        <x:v>Spring Boot</x:v>
      </x:c>
      <x:c r="H22" s="37" t="str">
        <x:v>共通Master</x:v>
      </x:c>
      <x:c r="I22" s="37" t="str">
        <x:v>PG-01</x:v>
      </x:c>
      <x:c r="J22" s="37" t="str">
        <x:v>高</x:v>
      </x:c>
      <x:c r="K22" s="37" t="str">
        <x:v>10_API共通と認証_基本設計書.xlsx</x:v>
      </x:c>
      <x:c r="L22" s="37" t="str">
        <x:v>GET /api/v1/masters/roles-permissions</x:v>
      </x:c>
      <x:c r="M22" s="39" t="n">
        <x:v>21</x:v>
      </x:c>
      <x:c r="N22" s="39" t="n">
        <x:v>28</x:v>
      </x:c>
      <x:c r="O22" s="39" t="n">
        <x:v>21</x:v>
      </x:c>
      <x:c r="P22" s="39" t="n">
        <x:v>70</x:v>
      </x:c>
    </x:row>
    <x:row r="23">
      <x:c r="A23" s="37" t="n">
        <x:v>17</x:v>
      </x:c>
      <x:c r="B23" s="37" t="str">
        <x:v>WP-017</x:v>
      </x:c>
      <x:c r="C23" s="37" t="str">
        <x:v>API-USR-001</x:v>
      </x:c>
      <x:c r="D23" s="37" t="str">
        <x:v>API-USR-001_ユーザー検索詳細設計書.xlsx</x:v>
      </x:c>
      <x:c r="E23" s="37" t="str">
        <x:v>ユーザー検索</x:v>
      </x:c>
      <x:c r="F23" s="37" t="str">
        <x:v>API</x:v>
      </x:c>
      <x:c r="G23" s="37" t="str">
        <x:v>Spring Boot</x:v>
      </x:c>
      <x:c r="H23" s="37" t="str">
        <x:v>User管理</x:v>
      </x:c>
      <x:c r="I23" s="37" t="str">
        <x:v>PG-01</x:v>
      </x:c>
      <x:c r="J23" s="37" t="str">
        <x:v>低</x:v>
      </x:c>
      <x:c r="K23" s="37" t="str">
        <x:v>10_API共通と認証_基本設計書.xlsx</x:v>
      </x:c>
      <x:c r="L23" s="37" t="str">
        <x:v>GET /api/v1/admin/users</x:v>
      </x:c>
      <x:c r="M23" s="39" t="n">
        <x:v>7</x:v>
      </x:c>
      <x:c r="N23" s="39" t="n">
        <x:v>14</x:v>
      </x:c>
      <x:c r="O23" s="39" t="n">
        <x:v>7</x:v>
      </x:c>
      <x:c r="P23" s="39" t="n">
        <x:v>28</x:v>
      </x:c>
    </x:row>
    <x:row r="24">
      <x:c r="A24" s="37" t="n">
        <x:v>18</x:v>
      </x:c>
      <x:c r="B24" s="37" t="str">
        <x:v>WP-018</x:v>
      </x:c>
      <x:c r="C24" s="37" t="str">
        <x:v>API-USR-002</x:v>
      </x:c>
      <x:c r="D24" s="37" t="str">
        <x:v>API-USR-002_ユーザー詳細詳細設計書.xlsx</x:v>
      </x:c>
      <x:c r="E24" s="37" t="str">
        <x:v>ユーザー詳細</x:v>
      </x:c>
      <x:c r="F24" s="37" t="str">
        <x:v>API</x:v>
      </x:c>
      <x:c r="G24" s="37" t="str">
        <x:v>Spring Boot</x:v>
      </x:c>
      <x:c r="H24" s="37" t="str">
        <x:v>User管理</x:v>
      </x:c>
      <x:c r="I24" s="37" t="str">
        <x:v>PG-01</x:v>
      </x:c>
      <x:c r="J24" s="37" t="str">
        <x:v>低</x:v>
      </x:c>
      <x:c r="K24" s="37" t="str">
        <x:v>10_API共通と認証_基本設計書.xlsx</x:v>
      </x:c>
      <x:c r="L24" s="37" t="str">
        <x:v>GET /api/v1/admin/users/{id}</x:v>
      </x:c>
      <x:c r="M24" s="39" t="n">
        <x:v>7</x:v>
      </x:c>
      <x:c r="N24" s="39" t="n">
        <x:v>14</x:v>
      </x:c>
      <x:c r="O24" s="39" t="n">
        <x:v>7</x:v>
      </x:c>
      <x:c r="P24" s="39" t="n">
        <x:v>28</x:v>
      </x:c>
    </x:row>
    <x:row r="25">
      <x:c r="A25" s="37" t="n">
        <x:v>19</x:v>
      </x:c>
      <x:c r="B25" s="37" t="str">
        <x:v>WP-019</x:v>
      </x:c>
      <x:c r="C25" s="37" t="str">
        <x:v>API-USR-003</x:v>
      </x:c>
      <x:c r="D25" s="37" t="str">
        <x:v>API-USR-003_ユーザー状態・Role更新詳細設計書.xlsx</x:v>
      </x:c>
      <x:c r="E25" s="37" t="str">
        <x:v>ユーザー状態・Role更新</x:v>
      </x:c>
      <x:c r="F25" s="37" t="str">
        <x:v>API</x:v>
      </x:c>
      <x:c r="G25" s="37" t="str">
        <x:v>Spring Boot</x:v>
      </x:c>
      <x:c r="H25" s="37" t="str">
        <x:v>User管理</x:v>
      </x:c>
      <x:c r="I25" s="37" t="str">
        <x:v>PG-01</x:v>
      </x:c>
      <x:c r="J25" s="37" t="str">
        <x:v>中</x:v>
      </x:c>
      <x:c r="K25" s="37" t="str">
        <x:v>10_API共通と認証_基本設計書.xlsx</x:v>
      </x:c>
      <x:c r="L25" s="37" t="str">
        <x:v>PUT /api/v1/admin/users/{id}</x:v>
      </x:c>
      <x:c r="M25" s="39" t="n">
        <x:v>14</x:v>
      </x:c>
      <x:c r="N25" s="39" t="n">
        <x:v>21</x:v>
      </x:c>
      <x:c r="O25" s="39" t="n">
        <x:v>14</x:v>
      </x:c>
      <x:c r="P25" s="39" t="n">
        <x:v>49</x:v>
      </x:c>
    </x:row>
    <x:row r="26">
      <x:c r="A26" s="37" t="n">
        <x:v>20</x:v>
      </x:c>
      <x:c r="B26" s="37" t="str">
        <x:v>WP-020</x:v>
      </x:c>
      <x:c r="C26" s="37" t="str">
        <x:v>API-USR-004</x:v>
      </x:c>
      <x:c r="D26" s="37" t="str">
        <x:v>API-USR-004_パスワードリセット詳細設計書.xlsx</x:v>
      </x:c>
      <x:c r="E26" s="37" t="str">
        <x:v>パスワードリセット</x:v>
      </x:c>
      <x:c r="F26" s="37" t="str">
        <x:v>API</x:v>
      </x:c>
      <x:c r="G26" s="37" t="str">
        <x:v>Spring Boot</x:v>
      </x:c>
      <x:c r="H26" s="37" t="str">
        <x:v>User管理</x:v>
      </x:c>
      <x:c r="I26" s="37" t="str">
        <x:v>PG-01</x:v>
      </x:c>
      <x:c r="J26" s="37" t="str">
        <x:v>中</x:v>
      </x:c>
      <x:c r="K26" s="37" t="str">
        <x:v>10_API共通と認証_基本設計書.xlsx</x:v>
      </x:c>
      <x:c r="L26" s="37" t="str">
        <x:v>POST /api/v1/admin/users/{id}/password-reset</x:v>
      </x:c>
      <x:c r="M26" s="39" t="n">
        <x:v>14</x:v>
      </x:c>
      <x:c r="N26" s="39" t="n">
        <x:v>21</x:v>
      </x:c>
      <x:c r="O26" s="39" t="n">
        <x:v>14</x:v>
      </x:c>
      <x:c r="P26" s="39" t="n">
        <x:v>49</x:v>
      </x:c>
    </x:row>
    <x:row r="27">
      <x:c r="A27" s="37" t="n">
        <x:v>21</x:v>
      </x:c>
      <x:c r="B27" s="37" t="str">
        <x:v>WP-021</x:v>
      </x:c>
      <x:c r="C27" s="37" t="str">
        <x:v>API-ROLE-001</x:v>
      </x:c>
      <x:c r="D27" s="37" t="str">
        <x:v>API-ROLE-001_Role一覧詳細設計書.xlsx</x:v>
      </x:c>
      <x:c r="E27" s="37" t="str">
        <x:v>Role一覧</x:v>
      </x:c>
      <x:c r="F27" s="37" t="str">
        <x:v>API</x:v>
      </x:c>
      <x:c r="G27" s="37" t="str">
        <x:v>Spring Boot</x:v>
      </x:c>
      <x:c r="H27" s="37" t="str">
        <x:v>Role管理</x:v>
      </x:c>
      <x:c r="I27" s="37" t="str">
        <x:v>PG-03</x:v>
      </x:c>
      <x:c r="J27" s="37" t="str">
        <x:v>低</x:v>
      </x:c>
      <x:c r="K27" s="37" t="str">
        <x:v>10_API共通と認証_基本設計書.xlsx</x:v>
      </x:c>
      <x:c r="L27" s="37" t="str">
        <x:v>GET /api/v1/admin/roles</x:v>
      </x:c>
      <x:c r="M27" s="39" t="n">
        <x:v>7</x:v>
      </x:c>
      <x:c r="N27" s="39" t="n">
        <x:v>14</x:v>
      </x:c>
      <x:c r="O27" s="39" t="n">
        <x:v>7</x:v>
      </x:c>
      <x:c r="P27" s="39" t="n">
        <x:v>28</x:v>
      </x:c>
    </x:row>
    <x:row r="28">
      <x:c r="A28" s="37" t="n">
        <x:v>22</x:v>
      </x:c>
      <x:c r="B28" s="37" t="str">
        <x:v>WP-022</x:v>
      </x:c>
      <x:c r="C28" s="37" t="str">
        <x:v>API-ROLE-002</x:v>
      </x:c>
      <x:c r="D28" s="37" t="str">
        <x:v>API-ROLE-002_Role詳細詳細設計書.xlsx</x:v>
      </x:c>
      <x:c r="E28" s="37" t="str">
        <x:v>Role詳細</x:v>
      </x:c>
      <x:c r="F28" s="37" t="str">
        <x:v>API</x:v>
      </x:c>
      <x:c r="G28" s="37" t="str">
        <x:v>Spring Boot</x:v>
      </x:c>
      <x:c r="H28" s="37" t="str">
        <x:v>Role管理</x:v>
      </x:c>
      <x:c r="I28" s="37" t="str">
        <x:v>PG-03</x:v>
      </x:c>
      <x:c r="J28" s="37" t="str">
        <x:v>低</x:v>
      </x:c>
      <x:c r="K28" s="37" t="str">
        <x:v>10_API共通と認証_基本設計書.xlsx</x:v>
      </x:c>
      <x:c r="L28" s="37" t="str">
        <x:v>GET /api/v1/admin/roles/{id}</x:v>
      </x:c>
      <x:c r="M28" s="39" t="n">
        <x:v>7</x:v>
      </x:c>
      <x:c r="N28" s="39" t="n">
        <x:v>14</x:v>
      </x:c>
      <x:c r="O28" s="39" t="n">
        <x:v>7</x:v>
      </x:c>
      <x:c r="P28" s="39" t="n">
        <x:v>28</x:v>
      </x:c>
    </x:row>
    <x:row r="29">
      <x:c r="A29" s="37" t="n">
        <x:v>23</x:v>
      </x:c>
      <x:c r="B29" s="37" t="str">
        <x:v>WP-023</x:v>
      </x:c>
      <x:c r="C29" s="37" t="str">
        <x:v>API-ROLE-003</x:v>
      </x:c>
      <x:c r="D29" s="37" t="str">
        <x:v>API-ROLE-003_Role登録詳細設計書.xlsx</x:v>
      </x:c>
      <x:c r="E29" s="37" t="str">
        <x:v>Role登録</x:v>
      </x:c>
      <x:c r="F29" s="37" t="str">
        <x:v>API</x:v>
      </x:c>
      <x:c r="G29" s="37" t="str">
        <x:v>Spring Boot</x:v>
      </x:c>
      <x:c r="H29" s="37" t="str">
        <x:v>Role管理</x:v>
      </x:c>
      <x:c r="I29" s="37" t="str">
        <x:v>PG-03</x:v>
      </x:c>
      <x:c r="J29" s="37" t="str">
        <x:v>中</x:v>
      </x:c>
      <x:c r="K29" s="37" t="str">
        <x:v>10_API共通と認証_基本設計書.xlsx</x:v>
      </x:c>
      <x:c r="L29" s="37" t="str">
        <x:v>POST /api/v1/admin/roles</x:v>
      </x:c>
      <x:c r="M29" s="39" t="n">
        <x:v>14</x:v>
      </x:c>
      <x:c r="N29" s="39" t="n">
        <x:v>21</x:v>
      </x:c>
      <x:c r="O29" s="39" t="n">
        <x:v>14</x:v>
      </x:c>
      <x:c r="P29" s="39" t="n">
        <x:v>49</x:v>
      </x:c>
    </x:row>
    <x:row r="30">
      <x:c r="A30" s="37" t="n">
        <x:v>24</x:v>
      </x:c>
      <x:c r="B30" s="37" t="str">
        <x:v>WP-024</x:v>
      </x:c>
      <x:c r="C30" s="37" t="str">
        <x:v>API-ROLE-004</x:v>
      </x:c>
      <x:c r="D30" s="37" t="str">
        <x:v>API-ROLE-004_Role更新詳細設計書.xlsx</x:v>
      </x:c>
      <x:c r="E30" s="37" t="str">
        <x:v>Role更新</x:v>
      </x:c>
      <x:c r="F30" s="37" t="str">
        <x:v>API</x:v>
      </x:c>
      <x:c r="G30" s="37" t="str">
        <x:v>Spring Boot</x:v>
      </x:c>
      <x:c r="H30" s="37" t="str">
        <x:v>Role管理</x:v>
      </x:c>
      <x:c r="I30" s="37" t="str">
        <x:v>PG-03</x:v>
      </x:c>
      <x:c r="J30" s="37" t="str">
        <x:v>中</x:v>
      </x:c>
      <x:c r="K30" s="37" t="str">
        <x:v>10_API共通と認証_基本設計書.xlsx</x:v>
      </x:c>
      <x:c r="L30" s="37" t="str">
        <x:v>PUT /api/v1/admin/roles/{id}</x:v>
      </x:c>
      <x:c r="M30" s="39" t="n">
        <x:v>14</x:v>
      </x:c>
      <x:c r="N30" s="39" t="n">
        <x:v>21</x:v>
      </x:c>
      <x:c r="O30" s="39" t="n">
        <x:v>14</x:v>
      </x:c>
      <x:c r="P30" s="39" t="n">
        <x:v>49</x:v>
      </x:c>
    </x:row>
    <x:row r="31">
      <x:c r="A31" s="37" t="n">
        <x:v>25</x:v>
      </x:c>
      <x:c r="B31" s="37" t="str">
        <x:v>WP-025</x:v>
      </x:c>
      <x:c r="C31" s="37" t="str">
        <x:v>API-ROLE-005</x:v>
      </x:c>
      <x:c r="D31" s="37" t="str">
        <x:v>API-ROLE-005_Role状態変更詳細設計書.xlsx</x:v>
      </x:c>
      <x:c r="E31" s="37" t="str">
        <x:v>Role状態変更</x:v>
      </x:c>
      <x:c r="F31" s="37" t="str">
        <x:v>API</x:v>
      </x:c>
      <x:c r="G31" s="37" t="str">
        <x:v>Spring Boot</x:v>
      </x:c>
      <x:c r="H31" s="37" t="str">
        <x:v>Role管理</x:v>
      </x:c>
      <x:c r="I31" s="37" t="str">
        <x:v>PG-03</x:v>
      </x:c>
      <x:c r="J31" s="37" t="str">
        <x:v>中</x:v>
      </x:c>
      <x:c r="K31" s="37" t="str">
        <x:v>10_API共通と認証_基本設計書.xlsx</x:v>
      </x:c>
      <x:c r="L31" s="37" t="str">
        <x:v>PATCH /api/v1/admin/roles/{id}/status</x:v>
      </x:c>
      <x:c r="M31" s="39" t="n">
        <x:v>14</x:v>
      </x:c>
      <x:c r="N31" s="39" t="n">
        <x:v>21</x:v>
      </x:c>
      <x:c r="O31" s="39" t="n">
        <x:v>14</x:v>
      </x:c>
      <x:c r="P31" s="39" t="n">
        <x:v>49</x:v>
      </x:c>
    </x:row>
    <x:row r="32">
      <x:c r="A32" s="37" t="n">
        <x:v>26</x:v>
      </x:c>
      <x:c r="B32" s="37" t="str">
        <x:v>WP-026</x:v>
      </x:c>
      <x:c r="C32" s="37" t="str">
        <x:v>API-LOG-001</x:v>
      </x:c>
      <x:c r="D32" s="37" t="str">
        <x:v>API-LOG-001_操作Log検索詳細設計書.xlsx</x:v>
      </x:c>
      <x:c r="E32" s="37" t="str">
        <x:v>操作Log検索</x:v>
      </x:c>
      <x:c r="F32" s="37" t="str">
        <x:v>API</x:v>
      </x:c>
      <x:c r="G32" s="37" t="str">
        <x:v>Spring Boot</x:v>
      </x:c>
      <x:c r="H32" s="37" t="str">
        <x:v>操作Log</x:v>
      </x:c>
      <x:c r="I32" s="37" t="str">
        <x:v>PG-03</x:v>
      </x:c>
      <x:c r="J32" s="37" t="str">
        <x:v>低</x:v>
      </x:c>
      <x:c r="K32" s="37" t="str">
        <x:v>10_API共通と認証_基本設計書.xlsx</x:v>
      </x:c>
      <x:c r="L32" s="37" t="str">
        <x:v>GET /api/v1/admin/operation-logs</x:v>
      </x:c>
      <x:c r="M32" s="39" t="n">
        <x:v>7</x:v>
      </x:c>
      <x:c r="N32" s="39" t="n">
        <x:v>14</x:v>
      </x:c>
      <x:c r="O32" s="39" t="n">
        <x:v>7</x:v>
      </x:c>
      <x:c r="P32" s="39" t="n">
        <x:v>28</x:v>
      </x:c>
    </x:row>
    <x:row r="33">
      <x:c r="A33" s="37" t="n">
        <x:v>27</x:v>
      </x:c>
      <x:c r="B33" s="37" t="str">
        <x:v>WP-027</x:v>
      </x:c>
      <x:c r="C33" s="37" t="str">
        <x:v>API-LOG-002</x:v>
      </x:c>
      <x:c r="D33" s="37" t="str">
        <x:v>API-LOG-002_操作Log詳細詳細設計書.xlsx</x:v>
      </x:c>
      <x:c r="E33" s="37" t="str">
        <x:v>操作Log詳細</x:v>
      </x:c>
      <x:c r="F33" s="37" t="str">
        <x:v>API</x:v>
      </x:c>
      <x:c r="G33" s="37" t="str">
        <x:v>Spring Boot</x:v>
      </x:c>
      <x:c r="H33" s="37" t="str">
        <x:v>操作Log</x:v>
      </x:c>
      <x:c r="I33" s="37" t="str">
        <x:v>PG-03</x:v>
      </x:c>
      <x:c r="J33" s="37" t="str">
        <x:v>低</x:v>
      </x:c>
      <x:c r="K33" s="37" t="str">
        <x:v>10_API共通と認証_基本設計書.xlsx</x:v>
      </x:c>
      <x:c r="L33" s="37" t="str">
        <x:v>GET /api/v1/admin/operation-logs/{id}</x:v>
      </x:c>
      <x:c r="M33" s="39" t="n">
        <x:v>7</x:v>
      </x:c>
      <x:c r="N33" s="39" t="n">
        <x:v>14</x:v>
      </x:c>
      <x:c r="O33" s="39" t="n">
        <x:v>7</x:v>
      </x:c>
      <x:c r="P33" s="39" t="n">
        <x:v>28</x:v>
      </x:c>
    </x:row>
    <x:row r="34">
      <x:c r="A34" s="37" t="n">
        <x:v>28</x:v>
      </x:c>
      <x:c r="B34" s="37" t="str">
        <x:v>WP-028</x:v>
      </x:c>
      <x:c r="C34" s="37" t="str">
        <x:v>API-EMP-001</x:v>
      </x:c>
      <x:c r="D34" s="37" t="str">
        <x:v>API-EMP-001_従業員ページ検索詳細設計書.xlsx</x:v>
      </x:c>
      <x:c r="E34" s="37" t="str">
        <x:v>従業員ページ検索</x:v>
      </x:c>
      <x:c r="F34" s="37" t="str">
        <x:v>API</x:v>
      </x:c>
      <x:c r="G34" s="37" t="str">
        <x:v>Spring Boot</x:v>
      </x:c>
      <x:c r="H34" s="37" t="str">
        <x:v>従業員</x:v>
      </x:c>
      <x:c r="I34" s="37" t="str">
        <x:v>PG-02</x:v>
      </x:c>
      <x:c r="J34" s="37" t="str">
        <x:v>低</x:v>
      </x:c>
      <x:c r="K34" s="37" t="str">
        <x:v>11_従業員と部門_API基本設計書.xlsx</x:v>
      </x:c>
      <x:c r="L34" s="37" t="str">
        <x:v>GET /api/v1/employees</x:v>
      </x:c>
      <x:c r="M34" s="39" t="n">
        <x:v>7</x:v>
      </x:c>
      <x:c r="N34" s="39" t="n">
        <x:v>14</x:v>
      </x:c>
      <x:c r="O34" s="39" t="n">
        <x:v>7</x:v>
      </x:c>
      <x:c r="P34" s="39" t="n">
        <x:v>28</x:v>
      </x:c>
    </x:row>
    <x:row r="35">
      <x:c r="A35" s="37" t="n">
        <x:v>29</x:v>
      </x:c>
      <x:c r="B35" s="37" t="str">
        <x:v>WP-029</x:v>
      </x:c>
      <x:c r="C35" s="37" t="str">
        <x:v>API-EMP-002</x:v>
      </x:c>
      <x:c r="D35" s="37" t="str">
        <x:v>API-EMP-002_従業員詳細詳細設計書.xlsx</x:v>
      </x:c>
      <x:c r="E35" s="37" t="str">
        <x:v>従業員詳細</x:v>
      </x:c>
      <x:c r="F35" s="37" t="str">
        <x:v>API</x:v>
      </x:c>
      <x:c r="G35" s="37" t="str">
        <x:v>Spring Boot</x:v>
      </x:c>
      <x:c r="H35" s="37" t="str">
        <x:v>従業員</x:v>
      </x:c>
      <x:c r="I35" s="37" t="str">
        <x:v>PG-02</x:v>
      </x:c>
      <x:c r="J35" s="37" t="str">
        <x:v>低</x:v>
      </x:c>
      <x:c r="K35" s="37" t="str">
        <x:v>11_従業員と部門_API基本設計書.xlsx</x:v>
      </x:c>
      <x:c r="L35" s="37" t="str">
        <x:v>GET /api/v1/employees/{id}</x:v>
      </x:c>
      <x:c r="M35" s="39" t="n">
        <x:v>7</x:v>
      </x:c>
      <x:c r="N35" s="39" t="n">
        <x:v>14</x:v>
      </x:c>
      <x:c r="O35" s="39" t="n">
        <x:v>7</x:v>
      </x:c>
      <x:c r="P35" s="39" t="n">
        <x:v>28</x:v>
      </x:c>
    </x:row>
    <x:row r="36">
      <x:c r="A36" s="37" t="n">
        <x:v>30</x:v>
      </x:c>
      <x:c r="B36" s="37" t="str">
        <x:v>WP-030</x:v>
      </x:c>
      <x:c r="C36" s="37" t="str">
        <x:v>API-EMP-003</x:v>
      </x:c>
      <x:c r="D36" s="37" t="str">
        <x:v>API-EMP-003_従業員登録詳細設計書.xlsx</x:v>
      </x:c>
      <x:c r="E36" s="37" t="str">
        <x:v>従業員登録</x:v>
      </x:c>
      <x:c r="F36" s="37" t="str">
        <x:v>API</x:v>
      </x:c>
      <x:c r="G36" s="37" t="str">
        <x:v>Spring Boot</x:v>
      </x:c>
      <x:c r="H36" s="37" t="str">
        <x:v>従業員</x:v>
      </x:c>
      <x:c r="I36" s="37" t="str">
        <x:v>PG-02</x:v>
      </x:c>
      <x:c r="J36" s="37" t="str">
        <x:v>中</x:v>
      </x:c>
      <x:c r="K36" s="37" t="str">
        <x:v>11_従業員と部門_API基本設計書.xlsx</x:v>
      </x:c>
      <x:c r="L36" s="37" t="str">
        <x:v>POST /api/v1/employees</x:v>
      </x:c>
      <x:c r="M36" s="39" t="n">
        <x:v>14</x:v>
      </x:c>
      <x:c r="N36" s="39" t="n">
        <x:v>21</x:v>
      </x:c>
      <x:c r="O36" s="39" t="n">
        <x:v>14</x:v>
      </x:c>
      <x:c r="P36" s="39" t="n">
        <x:v>49</x:v>
      </x:c>
    </x:row>
    <x:row r="37">
      <x:c r="A37" s="37" t="n">
        <x:v>31</x:v>
      </x:c>
      <x:c r="B37" s="37" t="str">
        <x:v>WP-031</x:v>
      </x:c>
      <x:c r="C37" s="37" t="str">
        <x:v>API-EMP-004</x:v>
      </x:c>
      <x:c r="D37" s="37" t="str">
        <x:v>API-EMP-004_従業員更新詳細設計書.xlsx</x:v>
      </x:c>
      <x:c r="E37" s="37" t="str">
        <x:v>従業員更新</x:v>
      </x:c>
      <x:c r="F37" s="37" t="str">
        <x:v>API</x:v>
      </x:c>
      <x:c r="G37" s="37" t="str">
        <x:v>Spring Boot</x:v>
      </x:c>
      <x:c r="H37" s="37" t="str">
        <x:v>従業員</x:v>
      </x:c>
      <x:c r="I37" s="37" t="str">
        <x:v>PG-02</x:v>
      </x:c>
      <x:c r="J37" s="37" t="str">
        <x:v>中</x:v>
      </x:c>
      <x:c r="K37" s="37" t="str">
        <x:v>11_従業員と部門_API基本設計書.xlsx</x:v>
      </x:c>
      <x:c r="L37" s="37" t="str">
        <x:v>PUT /api/v1/employees/{id}</x:v>
      </x:c>
      <x:c r="M37" s="39" t="n">
        <x:v>14</x:v>
      </x:c>
      <x:c r="N37" s="39" t="n">
        <x:v>21</x:v>
      </x:c>
      <x:c r="O37" s="39" t="n">
        <x:v>14</x:v>
      </x:c>
      <x:c r="P37" s="39" t="n">
        <x:v>49</x:v>
      </x:c>
    </x:row>
    <x:row r="38">
      <x:c r="A38" s="37" t="n">
        <x:v>32</x:v>
      </x:c>
      <x:c r="B38" s="37" t="str">
        <x:v>WP-032</x:v>
      </x:c>
      <x:c r="C38" s="37" t="str">
        <x:v>API-EMP-005</x:v>
      </x:c>
      <x:c r="D38" s="37" t="str">
        <x:v>API-EMP-005_従業員状態変更詳細設計書.xlsx</x:v>
      </x:c>
      <x:c r="E38" s="37" t="str">
        <x:v>従業員状態変更</x:v>
      </x:c>
      <x:c r="F38" s="37" t="str">
        <x:v>API</x:v>
      </x:c>
      <x:c r="G38" s="37" t="str">
        <x:v>Spring Boot</x:v>
      </x:c>
      <x:c r="H38" s="37" t="str">
        <x:v>従業員</x:v>
      </x:c>
      <x:c r="I38" s="37" t="str">
        <x:v>PG-02</x:v>
      </x:c>
      <x:c r="J38" s="37" t="str">
        <x:v>中</x:v>
      </x:c>
      <x:c r="K38" s="37" t="str">
        <x:v>11_従業員と部門_API基本設計書.xlsx</x:v>
      </x:c>
      <x:c r="L38" s="37" t="str">
        <x:v>PATCH /api/v1/employees/{id}/status</x:v>
      </x:c>
      <x:c r="M38" s="39" t="n">
        <x:v>14</x:v>
      </x:c>
      <x:c r="N38" s="39" t="n">
        <x:v>21</x:v>
      </x:c>
      <x:c r="O38" s="39" t="n">
        <x:v>14</x:v>
      </x:c>
      <x:c r="P38" s="39" t="n">
        <x:v>49</x:v>
      </x:c>
    </x:row>
    <x:row r="39">
      <x:c r="A39" s="37" t="n">
        <x:v>33</x:v>
      </x:c>
      <x:c r="B39" s="37" t="str">
        <x:v>WP-033</x:v>
      </x:c>
      <x:c r="C39" s="37" t="str">
        <x:v>API-EMP-006</x:v>
      </x:c>
      <x:c r="D39" s="37" t="str">
        <x:v>API-EMP-006_従業員Excel取込詳細設計書.xlsx</x:v>
      </x:c>
      <x:c r="E39" s="37" t="str">
        <x:v>従業員Excel取込</x:v>
      </x:c>
      <x:c r="F39" s="37" t="str">
        <x:v>API</x:v>
      </x:c>
      <x:c r="G39" s="37" t="str">
        <x:v>Spring Boot</x:v>
      </x:c>
      <x:c r="H39" s="37" t="str">
        <x:v>従業員</x:v>
      </x:c>
      <x:c r="I39" s="37" t="str">
        <x:v>PG-02</x:v>
      </x:c>
      <x:c r="J39" s="37" t="str">
        <x:v>高</x:v>
      </x:c>
      <x:c r="K39" s="37" t="str">
        <x:v>11_従業員と部門_API基本設計書.xlsx</x:v>
      </x:c>
      <x:c r="L39" s="37" t="str">
        <x:v>POST /api/v1/employees/import</x:v>
      </x:c>
      <x:c r="M39" s="39" t="n">
        <x:v>21</x:v>
      </x:c>
      <x:c r="N39" s="39" t="n">
        <x:v>28</x:v>
      </x:c>
      <x:c r="O39" s="39" t="n">
        <x:v>21</x:v>
      </x:c>
      <x:c r="P39" s="39" t="n">
        <x:v>70</x:v>
      </x:c>
    </x:row>
    <x:row r="40">
      <x:c r="A40" s="37" t="n">
        <x:v>34</x:v>
      </x:c>
      <x:c r="B40" s="37" t="str">
        <x:v>WP-034</x:v>
      </x:c>
      <x:c r="C40" s="37" t="str">
        <x:v>API-EMP-007</x:v>
      </x:c>
      <x:c r="D40" s="37" t="str">
        <x:v>API-EMP-007_従業員Excel出力詳細設計書.xlsx</x:v>
      </x:c>
      <x:c r="E40" s="37" t="str">
        <x:v>従業員Excel出力</x:v>
      </x:c>
      <x:c r="F40" s="37" t="str">
        <x:v>API</x:v>
      </x:c>
      <x:c r="G40" s="37" t="str">
        <x:v>Spring Boot</x:v>
      </x:c>
      <x:c r="H40" s="37" t="str">
        <x:v>従業員</x:v>
      </x:c>
      <x:c r="I40" s="37" t="str">
        <x:v>PG-02</x:v>
      </x:c>
      <x:c r="J40" s="37" t="str">
        <x:v>高</x:v>
      </x:c>
      <x:c r="K40" s="37" t="str">
        <x:v>11_従業員と部門_API基本設計書.xlsx</x:v>
      </x:c>
      <x:c r="L40" s="37" t="str">
        <x:v>GET /api/v1/employees/export</x:v>
      </x:c>
      <x:c r="M40" s="39" t="n">
        <x:v>21</x:v>
      </x:c>
      <x:c r="N40" s="39" t="n">
        <x:v>28</x:v>
      </x:c>
      <x:c r="O40" s="39" t="n">
        <x:v>21</x:v>
      </x:c>
      <x:c r="P40" s="39" t="n">
        <x:v>70</x:v>
      </x:c>
    </x:row>
    <x:row r="41">
      <x:c r="A41" s="37" t="n">
        <x:v>35</x:v>
      </x:c>
      <x:c r="B41" s="37" t="str">
        <x:v>WP-035</x:v>
      </x:c>
      <x:c r="C41" s="37" t="str">
        <x:v>API-DEPT-001</x:v>
      </x:c>
      <x:c r="D41" s="37" t="str">
        <x:v>API-DEPT-001_部門Tree取得詳細設計書.xlsx</x:v>
      </x:c>
      <x:c r="E41" s="37" t="str">
        <x:v>部門Tree取得</x:v>
      </x:c>
      <x:c r="F41" s="37" t="str">
        <x:v>API</x:v>
      </x:c>
      <x:c r="G41" s="37" t="str">
        <x:v>Spring Boot</x:v>
      </x:c>
      <x:c r="H41" s="37" t="str">
        <x:v>部門</x:v>
      </x:c>
      <x:c r="I41" s="37" t="str">
        <x:v>PG-02</x:v>
      </x:c>
      <x:c r="J41" s="37" t="str">
        <x:v>低</x:v>
      </x:c>
      <x:c r="K41" s="37" t="str">
        <x:v>11_従業員と部門_API基本設計書.xlsx</x:v>
      </x:c>
      <x:c r="L41" s="37" t="str">
        <x:v>GET /api/v1/departments/tree</x:v>
      </x:c>
      <x:c r="M41" s="39" t="n">
        <x:v>7</x:v>
      </x:c>
      <x:c r="N41" s="39" t="n">
        <x:v>14</x:v>
      </x:c>
      <x:c r="O41" s="39" t="n">
        <x:v>7</x:v>
      </x:c>
      <x:c r="P41" s="39" t="n">
        <x:v>28</x:v>
      </x:c>
    </x:row>
    <x:row r="42">
      <x:c r="A42" s="37" t="n">
        <x:v>36</x:v>
      </x:c>
      <x:c r="B42" s="37" t="str">
        <x:v>WP-036</x:v>
      </x:c>
      <x:c r="C42" s="37" t="str">
        <x:v>API-DEPT-002</x:v>
      </x:c>
      <x:c r="D42" s="37" t="str">
        <x:v>API-DEPT-002_部門詳細詳細設計書.xlsx</x:v>
      </x:c>
      <x:c r="E42" s="37" t="str">
        <x:v>部門詳細</x:v>
      </x:c>
      <x:c r="F42" s="37" t="str">
        <x:v>API</x:v>
      </x:c>
      <x:c r="G42" s="37" t="str">
        <x:v>Spring Boot</x:v>
      </x:c>
      <x:c r="H42" s="37" t="str">
        <x:v>部門</x:v>
      </x:c>
      <x:c r="I42" s="37" t="str">
        <x:v>PG-02</x:v>
      </x:c>
      <x:c r="J42" s="37" t="str">
        <x:v>低</x:v>
      </x:c>
      <x:c r="K42" s="37" t="str">
        <x:v>11_従業員と部門_API基本設計書.xlsx</x:v>
      </x:c>
      <x:c r="L42" s="37" t="str">
        <x:v>GET /api/v1/departments/{id}</x:v>
      </x:c>
      <x:c r="M42" s="39" t="n">
        <x:v>7</x:v>
      </x:c>
      <x:c r="N42" s="39" t="n">
        <x:v>14</x:v>
      </x:c>
      <x:c r="O42" s="39" t="n">
        <x:v>7</x:v>
      </x:c>
      <x:c r="P42" s="39" t="n">
        <x:v>28</x:v>
      </x:c>
    </x:row>
    <x:row r="43">
      <x:c r="A43" s="37" t="n">
        <x:v>37</x:v>
      </x:c>
      <x:c r="B43" s="37" t="str">
        <x:v>WP-037</x:v>
      </x:c>
      <x:c r="C43" s="37" t="str">
        <x:v>API-DEPT-003</x:v>
      </x:c>
      <x:c r="D43" s="37" t="str">
        <x:v>API-DEPT-003_部門登録詳細設計書.xlsx</x:v>
      </x:c>
      <x:c r="E43" s="37" t="str">
        <x:v>部門登録</x:v>
      </x:c>
      <x:c r="F43" s="37" t="str">
        <x:v>API</x:v>
      </x:c>
      <x:c r="G43" s="37" t="str">
        <x:v>Spring Boot</x:v>
      </x:c>
      <x:c r="H43" s="37" t="str">
        <x:v>部門</x:v>
      </x:c>
      <x:c r="I43" s="37" t="str">
        <x:v>PG-02</x:v>
      </x:c>
      <x:c r="J43" s="37" t="str">
        <x:v>中</x:v>
      </x:c>
      <x:c r="K43" s="37" t="str">
        <x:v>11_従業員と部門_API基本設計書.xlsx</x:v>
      </x:c>
      <x:c r="L43" s="37" t="str">
        <x:v>POST /api/v1/departments</x:v>
      </x:c>
      <x:c r="M43" s="39" t="n">
        <x:v>14</x:v>
      </x:c>
      <x:c r="N43" s="39" t="n">
        <x:v>21</x:v>
      </x:c>
      <x:c r="O43" s="39" t="n">
        <x:v>14</x:v>
      </x:c>
      <x:c r="P43" s="39" t="n">
        <x:v>49</x:v>
      </x:c>
    </x:row>
    <x:row r="44">
      <x:c r="A44" s="37" t="n">
        <x:v>38</x:v>
      </x:c>
      <x:c r="B44" s="37" t="str">
        <x:v>WP-038</x:v>
      </x:c>
      <x:c r="C44" s="37" t="str">
        <x:v>API-DEPT-004</x:v>
      </x:c>
      <x:c r="D44" s="37" t="str">
        <x:v>API-DEPT-004_部門更新詳細設計書.xlsx</x:v>
      </x:c>
      <x:c r="E44" s="37" t="str">
        <x:v>部門更新</x:v>
      </x:c>
      <x:c r="F44" s="37" t="str">
        <x:v>API</x:v>
      </x:c>
      <x:c r="G44" s="37" t="str">
        <x:v>Spring Boot</x:v>
      </x:c>
      <x:c r="H44" s="37" t="str">
        <x:v>部門</x:v>
      </x:c>
      <x:c r="I44" s="37" t="str">
        <x:v>PG-02</x:v>
      </x:c>
      <x:c r="J44" s="37" t="str">
        <x:v>中</x:v>
      </x:c>
      <x:c r="K44" s="37" t="str">
        <x:v>11_従業員と部門_API基本設計書.xlsx</x:v>
      </x:c>
      <x:c r="L44" s="37" t="str">
        <x:v>PUT /api/v1/departments/{id}</x:v>
      </x:c>
      <x:c r="M44" s="39" t="n">
        <x:v>14</x:v>
      </x:c>
      <x:c r="N44" s="39" t="n">
        <x:v>21</x:v>
      </x:c>
      <x:c r="O44" s="39" t="n">
        <x:v>14</x:v>
      </x:c>
      <x:c r="P44" s="39" t="n">
        <x:v>49</x:v>
      </x:c>
    </x:row>
    <x:row r="45">
      <x:c r="A45" s="37" t="n">
        <x:v>39</x:v>
      </x:c>
      <x:c r="B45" s="37" t="str">
        <x:v>WP-039</x:v>
      </x:c>
      <x:c r="C45" s="37" t="str">
        <x:v>API-DEPT-005</x:v>
      </x:c>
      <x:c r="D45" s="37" t="str">
        <x:v>API-DEPT-005_部門削除詳細設計書.xlsx</x:v>
      </x:c>
      <x:c r="E45" s="37" t="str">
        <x:v>部門削除</x:v>
      </x:c>
      <x:c r="F45" s="37" t="str">
        <x:v>API</x:v>
      </x:c>
      <x:c r="G45" s="37" t="str">
        <x:v>Spring Boot</x:v>
      </x:c>
      <x:c r="H45" s="37" t="str">
        <x:v>部門</x:v>
      </x:c>
      <x:c r="I45" s="37" t="str">
        <x:v>PG-02</x:v>
      </x:c>
      <x:c r="J45" s="37" t="str">
        <x:v>中</x:v>
      </x:c>
      <x:c r="K45" s="37" t="str">
        <x:v>11_従業員と部門_API基本設計書.xlsx</x:v>
      </x:c>
      <x:c r="L45" s="37" t="str">
        <x:v>DELETE /api/v1/departments/{id}</x:v>
      </x:c>
      <x:c r="M45" s="39" t="n">
        <x:v>14</x:v>
      </x:c>
      <x:c r="N45" s="39" t="n">
        <x:v>21</x:v>
      </x:c>
      <x:c r="O45" s="39" t="n">
        <x:v>14</x:v>
      </x:c>
      <x:c r="P45" s="39" t="n">
        <x:v>49</x:v>
      </x:c>
    </x:row>
    <x:row r="46">
      <x:c r="A46" s="37" t="n">
        <x:v>40</x:v>
      </x:c>
      <x:c r="B46" s="37" t="str">
        <x:v>WP-040</x:v>
      </x:c>
      <x:c r="C46" s="37" t="str">
        <x:v>API-PRJ-001</x:v>
      </x:c>
      <x:c r="D46" s="37" t="str">
        <x:v>API-PRJ-001_PJ検索詳細設計書.xlsx</x:v>
      </x:c>
      <x:c r="E46" s="37" t="str">
        <x:v>PJ検索</x:v>
      </x:c>
      <x:c r="F46" s="37" t="str">
        <x:v>API</x:v>
      </x:c>
      <x:c r="G46" s="37" t="str">
        <x:v>Spring Boot</x:v>
      </x:c>
      <x:c r="H46" s="37" t="str">
        <x:v>Project</x:v>
      </x:c>
      <x:c r="I46" s="37" t="str">
        <x:v>PG-03</x:v>
      </x:c>
      <x:c r="J46" s="37" t="str">
        <x:v>低</x:v>
      </x:c>
      <x:c r="K46" s="37" t="str">
        <x:v>12_プロジェクト_API基本設計書.xlsx</x:v>
      </x:c>
      <x:c r="L46" s="37" t="str">
        <x:v>GET /api/v1/projects</x:v>
      </x:c>
      <x:c r="M46" s="39" t="n">
        <x:v>7</x:v>
      </x:c>
      <x:c r="N46" s="39" t="n">
        <x:v>14</x:v>
      </x:c>
      <x:c r="O46" s="39" t="n">
        <x:v>7</x:v>
      </x:c>
      <x:c r="P46" s="39" t="n">
        <x:v>28</x:v>
      </x:c>
    </x:row>
    <x:row r="47">
      <x:c r="A47" s="37" t="n">
        <x:v>41</x:v>
      </x:c>
      <x:c r="B47" s="37" t="str">
        <x:v>WP-041</x:v>
      </x:c>
      <x:c r="C47" s="37" t="str">
        <x:v>API-PRJ-002</x:v>
      </x:c>
      <x:c r="D47" s="37" t="str">
        <x:v>API-PRJ-002_PJ詳細詳細設計書.xlsx</x:v>
      </x:c>
      <x:c r="E47" s="37" t="str">
        <x:v>PJ詳細</x:v>
      </x:c>
      <x:c r="F47" s="37" t="str">
        <x:v>API</x:v>
      </x:c>
      <x:c r="G47" s="37" t="str">
        <x:v>Spring Boot</x:v>
      </x:c>
      <x:c r="H47" s="37" t="str">
        <x:v>Project</x:v>
      </x:c>
      <x:c r="I47" s="37" t="str">
        <x:v>PG-03</x:v>
      </x:c>
      <x:c r="J47" s="37" t="str">
        <x:v>低</x:v>
      </x:c>
      <x:c r="K47" s="37" t="str">
        <x:v>12_プロジェクト_API基本設計書.xlsx</x:v>
      </x:c>
      <x:c r="L47" s="37" t="str">
        <x:v>GET /api/v1/projects/{id}</x:v>
      </x:c>
      <x:c r="M47" s="39" t="n">
        <x:v>7</x:v>
      </x:c>
      <x:c r="N47" s="39" t="n">
        <x:v>14</x:v>
      </x:c>
      <x:c r="O47" s="39" t="n">
        <x:v>7</x:v>
      </x:c>
      <x:c r="P47" s="39" t="n">
        <x:v>28</x:v>
      </x:c>
    </x:row>
    <x:row r="48">
      <x:c r="A48" s="37" t="n">
        <x:v>42</x:v>
      </x:c>
      <x:c r="B48" s="37" t="str">
        <x:v>WP-042</x:v>
      </x:c>
      <x:c r="C48" s="37" t="str">
        <x:v>API-PRJ-003</x:v>
      </x:c>
      <x:c r="D48" s="37" t="str">
        <x:v>API-PRJ-003_PJ登録詳細設計書.xlsx</x:v>
      </x:c>
      <x:c r="E48" s="37" t="str">
        <x:v>PJ登録</x:v>
      </x:c>
      <x:c r="F48" s="37" t="str">
        <x:v>API</x:v>
      </x:c>
      <x:c r="G48" s="37" t="str">
        <x:v>Spring Boot</x:v>
      </x:c>
      <x:c r="H48" s="37" t="str">
        <x:v>Project</x:v>
      </x:c>
      <x:c r="I48" s="37" t="str">
        <x:v>PG-03</x:v>
      </x:c>
      <x:c r="J48" s="37" t="str">
        <x:v>中</x:v>
      </x:c>
      <x:c r="K48" s="37" t="str">
        <x:v>12_プロジェクト_API基本設計書.xlsx</x:v>
      </x:c>
      <x:c r="L48" s="37" t="str">
        <x:v>POST /api/v1/projects</x:v>
      </x:c>
      <x:c r="M48" s="39" t="n">
        <x:v>14</x:v>
      </x:c>
      <x:c r="N48" s="39" t="n">
        <x:v>21</x:v>
      </x:c>
      <x:c r="O48" s="39" t="n">
        <x:v>14</x:v>
      </x:c>
      <x:c r="P48" s="39" t="n">
        <x:v>49</x:v>
      </x:c>
    </x:row>
    <x:row r="49">
      <x:c r="A49" s="37" t="n">
        <x:v>43</x:v>
      </x:c>
      <x:c r="B49" s="37" t="str">
        <x:v>WP-043</x:v>
      </x:c>
      <x:c r="C49" s="37" t="str">
        <x:v>API-PRJ-004</x:v>
      </x:c>
      <x:c r="D49" s="37" t="str">
        <x:v>API-PRJ-004_PJ更新詳細設計書.xlsx</x:v>
      </x:c>
      <x:c r="E49" s="37" t="str">
        <x:v>PJ更新</x:v>
      </x:c>
      <x:c r="F49" s="37" t="str">
        <x:v>API</x:v>
      </x:c>
      <x:c r="G49" s="37" t="str">
        <x:v>Spring Boot</x:v>
      </x:c>
      <x:c r="H49" s="37" t="str">
        <x:v>Project</x:v>
      </x:c>
      <x:c r="I49" s="37" t="str">
        <x:v>PG-03</x:v>
      </x:c>
      <x:c r="J49" s="37" t="str">
        <x:v>中</x:v>
      </x:c>
      <x:c r="K49" s="37" t="str">
        <x:v>12_プロジェクト_API基本設計書.xlsx</x:v>
      </x:c>
      <x:c r="L49" s="37" t="str">
        <x:v>PUT /api/v1/projects/{id}</x:v>
      </x:c>
      <x:c r="M49" s="39" t="n">
        <x:v>14</x:v>
      </x:c>
      <x:c r="N49" s="39" t="n">
        <x:v>21</x:v>
      </x:c>
      <x:c r="O49" s="39" t="n">
        <x:v>14</x:v>
      </x:c>
      <x:c r="P49" s="39" t="n">
        <x:v>49</x:v>
      </x:c>
    </x:row>
    <x:row r="50">
      <x:c r="A50" s="37" t="n">
        <x:v>44</x:v>
      </x:c>
      <x:c r="B50" s="37" t="str">
        <x:v>WP-044</x:v>
      </x:c>
      <x:c r="C50" s="37" t="str">
        <x:v>API-PRJ-005</x:v>
      </x:c>
      <x:c r="D50" s="37" t="str">
        <x:v>API-PRJ-005_PJ状態変更詳細設計書.xlsx</x:v>
      </x:c>
      <x:c r="E50" s="37" t="str">
        <x:v>PJ状態変更</x:v>
      </x:c>
      <x:c r="F50" s="37" t="str">
        <x:v>API</x:v>
      </x:c>
      <x:c r="G50" s="37" t="str">
        <x:v>Spring Boot</x:v>
      </x:c>
      <x:c r="H50" s="37" t="str">
        <x:v>Project</x:v>
      </x:c>
      <x:c r="I50" s="37" t="str">
        <x:v>PG-03</x:v>
      </x:c>
      <x:c r="J50" s="37" t="str">
        <x:v>中</x:v>
      </x:c>
      <x:c r="K50" s="37" t="str">
        <x:v>12_プロジェクト_API基本設計書.xlsx</x:v>
      </x:c>
      <x:c r="L50" s="37" t="str">
        <x:v>PATCH /api/v1/projects/{id}/status</x:v>
      </x:c>
      <x:c r="M50" s="39" t="n">
        <x:v>14</x:v>
      </x:c>
      <x:c r="N50" s="39" t="n">
        <x:v>21</x:v>
      </x:c>
      <x:c r="O50" s="39" t="n">
        <x:v>14</x:v>
      </x:c>
      <x:c r="P50" s="39" t="n">
        <x:v>49</x:v>
      </x:c>
    </x:row>
    <x:row r="51">
      <x:c r="A51" s="37" t="n">
        <x:v>45</x:v>
      </x:c>
      <x:c r="B51" s="37" t="str">
        <x:v>WP-045</x:v>
      </x:c>
      <x:c r="C51" s="37" t="str">
        <x:v>API-PRJ-006</x:v>
      </x:c>
      <x:c r="D51" s="37" t="str">
        <x:v>API-PRJ-006_Member検索詳細設計書.xlsx</x:v>
      </x:c>
      <x:c r="E51" s="37" t="str">
        <x:v>Member検索</x:v>
      </x:c>
      <x:c r="F51" s="37" t="str">
        <x:v>API</x:v>
      </x:c>
      <x:c r="G51" s="37" t="str">
        <x:v>Spring Boot</x:v>
      </x:c>
      <x:c r="H51" s="37" t="str">
        <x:v>Project</x:v>
      </x:c>
      <x:c r="I51" s="37" t="str">
        <x:v>PG-03</x:v>
      </x:c>
      <x:c r="J51" s="37" t="str">
        <x:v>低</x:v>
      </x:c>
      <x:c r="K51" s="37" t="str">
        <x:v>12_プロジェクト_API基本設計書.xlsx</x:v>
      </x:c>
      <x:c r="L51" s="37" t="str">
        <x:v>GET /api/v1/projects/{id}/members</x:v>
      </x:c>
      <x:c r="M51" s="39" t="n">
        <x:v>7</x:v>
      </x:c>
      <x:c r="N51" s="39" t="n">
        <x:v>14</x:v>
      </x:c>
      <x:c r="O51" s="39" t="n">
        <x:v>7</x:v>
      </x:c>
      <x:c r="P51" s="39" t="n">
        <x:v>28</x:v>
      </x:c>
    </x:row>
    <x:row r="52">
      <x:c r="A52" s="37" t="n">
        <x:v>46</x:v>
      </x:c>
      <x:c r="B52" s="37" t="str">
        <x:v>WP-046</x:v>
      </x:c>
      <x:c r="C52" s="37" t="str">
        <x:v>API-PRJ-007</x:v>
      </x:c>
      <x:c r="D52" s="37" t="str">
        <x:v>API-PRJ-007_Member追加詳細設計書.xlsx</x:v>
      </x:c>
      <x:c r="E52" s="37" t="str">
        <x:v>Member追加</x:v>
      </x:c>
      <x:c r="F52" s="37" t="str">
        <x:v>API</x:v>
      </x:c>
      <x:c r="G52" s="37" t="str">
        <x:v>Spring Boot</x:v>
      </x:c>
      <x:c r="H52" s="37" t="str">
        <x:v>Project</x:v>
      </x:c>
      <x:c r="I52" s="37" t="str">
        <x:v>PG-03</x:v>
      </x:c>
      <x:c r="J52" s="37" t="str">
        <x:v>中</x:v>
      </x:c>
      <x:c r="K52" s="37" t="str">
        <x:v>12_プロジェクト_API基本設計書.xlsx</x:v>
      </x:c>
      <x:c r="L52" s="37" t="str">
        <x:v>POST /api/v1/projects/{id}/members</x:v>
      </x:c>
      <x:c r="M52" s="39" t="n">
        <x:v>14</x:v>
      </x:c>
      <x:c r="N52" s="39" t="n">
        <x:v>21</x:v>
      </x:c>
      <x:c r="O52" s="39" t="n">
        <x:v>14</x:v>
      </x:c>
      <x:c r="P52" s="39" t="n">
        <x:v>49</x:v>
      </x:c>
    </x:row>
    <x:row r="53">
      <x:c r="A53" s="37" t="n">
        <x:v>47</x:v>
      </x:c>
      <x:c r="B53" s="37" t="str">
        <x:v>WP-047</x:v>
      </x:c>
      <x:c r="C53" s="37" t="str">
        <x:v>API-PRJ-008</x:v>
      </x:c>
      <x:c r="D53" s="37" t="str">
        <x:v>API-PRJ-008_Member削除詳細設計書.xlsx</x:v>
      </x:c>
      <x:c r="E53" s="37" t="str">
        <x:v>Member削除</x:v>
      </x:c>
      <x:c r="F53" s="37" t="str">
        <x:v>API</x:v>
      </x:c>
      <x:c r="G53" s="37" t="str">
        <x:v>Spring Boot</x:v>
      </x:c>
      <x:c r="H53" s="37" t="str">
        <x:v>Project</x:v>
      </x:c>
      <x:c r="I53" s="37" t="str">
        <x:v>PG-03</x:v>
      </x:c>
      <x:c r="J53" s="37" t="str">
        <x:v>中</x:v>
      </x:c>
      <x:c r="K53" s="37" t="str">
        <x:v>12_プロジェクト_API基本設計書.xlsx</x:v>
      </x:c>
      <x:c r="L53" s="37" t="str">
        <x:v>DELETE /api/v1/projects/{id}/members/{employeeId}</x:v>
      </x:c>
      <x:c r="M53" s="39" t="n">
        <x:v>14</x:v>
      </x:c>
      <x:c r="N53" s="39" t="n">
        <x:v>21</x:v>
      </x:c>
      <x:c r="O53" s="39" t="n">
        <x:v>14</x:v>
      </x:c>
      <x:c r="P53" s="39" t="n">
        <x:v>49</x:v>
      </x:c>
    </x:row>
    <x:row r="54">
      <x:c r="A54" s="37" t="n">
        <x:v>48</x:v>
      </x:c>
      <x:c r="B54" s="37" t="str">
        <x:v>WP-048</x:v>
      </x:c>
      <x:c r="C54" s="37" t="str">
        <x:v>API-TASK-001</x:v>
      </x:c>
      <x:c r="D54" s="37" t="str">
        <x:v>API-TASK-001_Task検索詳細設計書.xlsx</x:v>
      </x:c>
      <x:c r="E54" s="37" t="str">
        <x:v>Task検索</x:v>
      </x:c>
      <x:c r="F54" s="37" t="str">
        <x:v>API</x:v>
      </x:c>
      <x:c r="G54" s="37" t="str">
        <x:v>Spring Boot</x:v>
      </x:c>
      <x:c r="H54" s="37" t="str">
        <x:v>Task/File</x:v>
      </x:c>
      <x:c r="I54" s="37" t="str">
        <x:v>PG-04</x:v>
      </x:c>
      <x:c r="J54" s="37" t="str">
        <x:v>低</x:v>
      </x:c>
      <x:c r="K54" s="37" t="str">
        <x:v>13_タスクとファイル_API基本設計書.xlsx</x:v>
      </x:c>
      <x:c r="L54" s="37" t="str">
        <x:v>GET /api/v1/tasks</x:v>
      </x:c>
      <x:c r="M54" s="39" t="n">
        <x:v>7</x:v>
      </x:c>
      <x:c r="N54" s="39" t="n">
        <x:v>14</x:v>
      </x:c>
      <x:c r="O54" s="39" t="n">
        <x:v>7</x:v>
      </x:c>
      <x:c r="P54" s="39" t="n">
        <x:v>28</x:v>
      </x:c>
    </x:row>
    <x:row r="55">
      <x:c r="A55" s="37" t="n">
        <x:v>49</x:v>
      </x:c>
      <x:c r="B55" s="37" t="str">
        <x:v>WP-049</x:v>
      </x:c>
      <x:c r="C55" s="37" t="str">
        <x:v>API-TASK-002</x:v>
      </x:c>
      <x:c r="D55" s="37" t="str">
        <x:v>API-TASK-002_Task詳細詳細設計書.xlsx</x:v>
      </x:c>
      <x:c r="E55" s="37" t="str">
        <x:v>Task詳細</x:v>
      </x:c>
      <x:c r="F55" s="37" t="str">
        <x:v>API</x:v>
      </x:c>
      <x:c r="G55" s="37" t="str">
        <x:v>Spring Boot</x:v>
      </x:c>
      <x:c r="H55" s="37" t="str">
        <x:v>Task/File</x:v>
      </x:c>
      <x:c r="I55" s="37" t="str">
        <x:v>PG-04</x:v>
      </x:c>
      <x:c r="J55" s="37" t="str">
        <x:v>低</x:v>
      </x:c>
      <x:c r="K55" s="37" t="str">
        <x:v>13_タスクとファイル_API基本設計書.xlsx</x:v>
      </x:c>
      <x:c r="L55" s="37" t="str">
        <x:v>GET /api/v1/tasks/{id}</x:v>
      </x:c>
      <x:c r="M55" s="39" t="n">
        <x:v>7</x:v>
      </x:c>
      <x:c r="N55" s="39" t="n">
        <x:v>14</x:v>
      </x:c>
      <x:c r="O55" s="39" t="n">
        <x:v>7</x:v>
      </x:c>
      <x:c r="P55" s="39" t="n">
        <x:v>28</x:v>
      </x:c>
    </x:row>
    <x:row r="56">
      <x:c r="A56" s="37" t="n">
        <x:v>50</x:v>
      </x:c>
      <x:c r="B56" s="37" t="str">
        <x:v>WP-050</x:v>
      </x:c>
      <x:c r="C56" s="37" t="str">
        <x:v>API-TASK-003</x:v>
      </x:c>
      <x:c r="D56" s="37" t="str">
        <x:v>API-TASK-003_Task登録詳細設計書.xlsx</x:v>
      </x:c>
      <x:c r="E56" s="37" t="str">
        <x:v>Task登録</x:v>
      </x:c>
      <x:c r="F56" s="37" t="str">
        <x:v>API</x:v>
      </x:c>
      <x:c r="G56" s="37" t="str">
        <x:v>Spring Boot</x:v>
      </x:c>
      <x:c r="H56" s="37" t="str">
        <x:v>Task/File</x:v>
      </x:c>
      <x:c r="I56" s="37" t="str">
        <x:v>PG-04</x:v>
      </x:c>
      <x:c r="J56" s="37" t="str">
        <x:v>中</x:v>
      </x:c>
      <x:c r="K56" s="37" t="str">
        <x:v>13_タスクとファイル_API基本設計書.xlsx</x:v>
      </x:c>
      <x:c r="L56" s="37" t="str">
        <x:v>POST /api/v1/tasks</x:v>
      </x:c>
      <x:c r="M56" s="39" t="n">
        <x:v>14</x:v>
      </x:c>
      <x:c r="N56" s="39" t="n">
        <x:v>21</x:v>
      </x:c>
      <x:c r="O56" s="39" t="n">
        <x:v>14</x:v>
      </x:c>
      <x:c r="P56" s="39" t="n">
        <x:v>49</x:v>
      </x:c>
    </x:row>
    <x:row r="57">
      <x:c r="A57" s="37" t="n">
        <x:v>51</x:v>
      </x:c>
      <x:c r="B57" s="37" t="str">
        <x:v>WP-051</x:v>
      </x:c>
      <x:c r="C57" s="37" t="str">
        <x:v>API-TASK-004</x:v>
      </x:c>
      <x:c r="D57" s="37" t="str">
        <x:v>API-TASK-004_Task更新詳細設計書.xlsx</x:v>
      </x:c>
      <x:c r="E57" s="37" t="str">
        <x:v>Task更新</x:v>
      </x:c>
      <x:c r="F57" s="37" t="str">
        <x:v>API</x:v>
      </x:c>
      <x:c r="G57" s="37" t="str">
        <x:v>Spring Boot</x:v>
      </x:c>
      <x:c r="H57" s="37" t="str">
        <x:v>Task/File</x:v>
      </x:c>
      <x:c r="I57" s="37" t="str">
        <x:v>PG-04</x:v>
      </x:c>
      <x:c r="J57" s="37" t="str">
        <x:v>中</x:v>
      </x:c>
      <x:c r="K57" s="37" t="str">
        <x:v>13_タスクとファイル_API基本設計書.xlsx</x:v>
      </x:c>
      <x:c r="L57" s="37" t="str">
        <x:v>PUT /api/v1/tasks/{id}</x:v>
      </x:c>
      <x:c r="M57" s="39" t="n">
        <x:v>14</x:v>
      </x:c>
      <x:c r="N57" s="39" t="n">
        <x:v>21</x:v>
      </x:c>
      <x:c r="O57" s="39" t="n">
        <x:v>14</x:v>
      </x:c>
      <x:c r="P57" s="39" t="n">
        <x:v>49</x:v>
      </x:c>
    </x:row>
    <x:row r="58">
      <x:c r="A58" s="37" t="n">
        <x:v>52</x:v>
      </x:c>
      <x:c r="B58" s="37" t="str">
        <x:v>WP-052</x:v>
      </x:c>
      <x:c r="C58" s="37" t="str">
        <x:v>API-TASK-005</x:v>
      </x:c>
      <x:c r="D58" s="37" t="str">
        <x:v>API-TASK-005_Task状態更新詳細設計書.xlsx</x:v>
      </x:c>
      <x:c r="E58" s="37" t="str">
        <x:v>Task状態更新</x:v>
      </x:c>
      <x:c r="F58" s="37" t="str">
        <x:v>API</x:v>
      </x:c>
      <x:c r="G58" s="37" t="str">
        <x:v>Spring Boot</x:v>
      </x:c>
      <x:c r="H58" s="37" t="str">
        <x:v>Task/File</x:v>
      </x:c>
      <x:c r="I58" s="37" t="str">
        <x:v>PG-04</x:v>
      </x:c>
      <x:c r="J58" s="37" t="str">
        <x:v>中</x:v>
      </x:c>
      <x:c r="K58" s="37" t="str">
        <x:v>13_タスクとファイル_API基本設計書.xlsx</x:v>
      </x:c>
      <x:c r="L58" s="37" t="str">
        <x:v>PATCH /api/v1/tasks/{id}/status</x:v>
      </x:c>
      <x:c r="M58" s="39" t="n">
        <x:v>14</x:v>
      </x:c>
      <x:c r="N58" s="39" t="n">
        <x:v>21</x:v>
      </x:c>
      <x:c r="O58" s="39" t="n">
        <x:v>14</x:v>
      </x:c>
      <x:c r="P58" s="39" t="n">
        <x:v>49</x:v>
      </x:c>
    </x:row>
    <x:row r="59">
      <x:c r="A59" s="37" t="n">
        <x:v>53</x:v>
      </x:c>
      <x:c r="B59" s="37" t="str">
        <x:v>WP-053</x:v>
      </x:c>
      <x:c r="C59" s="37" t="str">
        <x:v>API-TASK-006</x:v>
      </x:c>
      <x:c r="D59" s="37" t="str">
        <x:v>API-TASK-006_進捗更新詳細設計書.xlsx</x:v>
      </x:c>
      <x:c r="E59" s="37" t="str">
        <x:v>進捗更新</x:v>
      </x:c>
      <x:c r="F59" s="37" t="str">
        <x:v>API</x:v>
      </x:c>
      <x:c r="G59" s="37" t="str">
        <x:v>Spring Boot</x:v>
      </x:c>
      <x:c r="H59" s="37" t="str">
        <x:v>Task/File</x:v>
      </x:c>
      <x:c r="I59" s="37" t="str">
        <x:v>PG-04</x:v>
      </x:c>
      <x:c r="J59" s="37" t="str">
        <x:v>中</x:v>
      </x:c>
      <x:c r="K59" s="37" t="str">
        <x:v>13_タスクとファイル_API基本設計書.xlsx</x:v>
      </x:c>
      <x:c r="L59" s="37" t="str">
        <x:v>PATCH /api/v1/tasks/{id}/progress</x:v>
      </x:c>
      <x:c r="M59" s="39" t="n">
        <x:v>14</x:v>
      </x:c>
      <x:c r="N59" s="39" t="n">
        <x:v>21</x:v>
      </x:c>
      <x:c r="O59" s="39" t="n">
        <x:v>14</x:v>
      </x:c>
      <x:c r="P59" s="39" t="n">
        <x:v>49</x:v>
      </x:c>
    </x:row>
    <x:row r="60">
      <x:c r="A60" s="37" t="n">
        <x:v>54</x:v>
      </x:c>
      <x:c r="B60" s="37" t="str">
        <x:v>WP-054</x:v>
      </x:c>
      <x:c r="C60" s="37" t="str">
        <x:v>API-TASK-007</x:v>
      </x:c>
      <x:c r="D60" s="37" t="str">
        <x:v>API-TASK-007_Comment登録詳細設計書.xlsx</x:v>
      </x:c>
      <x:c r="E60" s="37" t="str">
        <x:v>Comment登録</x:v>
      </x:c>
      <x:c r="F60" s="37" t="str">
        <x:v>API</x:v>
      </x:c>
      <x:c r="G60" s="37" t="str">
        <x:v>Spring Boot</x:v>
      </x:c>
      <x:c r="H60" s="37" t="str">
        <x:v>Task/File</x:v>
      </x:c>
      <x:c r="I60" s="37" t="str">
        <x:v>PG-04</x:v>
      </x:c>
      <x:c r="J60" s="37" t="str">
        <x:v>中</x:v>
      </x:c>
      <x:c r="K60" s="37" t="str">
        <x:v>13_タスクとファイル_API基本設計書.xlsx</x:v>
      </x:c>
      <x:c r="L60" s="37" t="str">
        <x:v>POST /api/v1/tasks/{id}/comments</x:v>
      </x:c>
      <x:c r="M60" s="39" t="n">
        <x:v>14</x:v>
      </x:c>
      <x:c r="N60" s="39" t="n">
        <x:v>21</x:v>
      </x:c>
      <x:c r="O60" s="39" t="n">
        <x:v>14</x:v>
      </x:c>
      <x:c r="P60" s="39" t="n">
        <x:v>49</x:v>
      </x:c>
    </x:row>
    <x:row r="61">
      <x:c r="A61" s="37" t="n">
        <x:v>55</x:v>
      </x:c>
      <x:c r="B61" s="37" t="str">
        <x:v>WP-055</x:v>
      </x:c>
      <x:c r="C61" s="37" t="str">
        <x:v>API-TASK-008</x:v>
      </x:c>
      <x:c r="D61" s="37" t="str">
        <x:v>API-TASK-008_履歴検索詳細設計書.xlsx</x:v>
      </x:c>
      <x:c r="E61" s="37" t="str">
        <x:v>履歴検索</x:v>
      </x:c>
      <x:c r="F61" s="37" t="str">
        <x:v>API</x:v>
      </x:c>
      <x:c r="G61" s="37" t="str">
        <x:v>Spring Boot</x:v>
      </x:c>
      <x:c r="H61" s="37" t="str">
        <x:v>Task/File</x:v>
      </x:c>
      <x:c r="I61" s="37" t="str">
        <x:v>PG-04</x:v>
      </x:c>
      <x:c r="J61" s="37" t="str">
        <x:v>低</x:v>
      </x:c>
      <x:c r="K61" s="37" t="str">
        <x:v>13_タスクとファイル_API基本設計書.xlsx</x:v>
      </x:c>
      <x:c r="L61" s="37" t="str">
        <x:v>GET /api/v1/tasks/{id}/histories</x:v>
      </x:c>
      <x:c r="M61" s="39" t="n">
        <x:v>7</x:v>
      </x:c>
      <x:c r="N61" s="39" t="n">
        <x:v>14</x:v>
      </x:c>
      <x:c r="O61" s="39" t="n">
        <x:v>7</x:v>
      </x:c>
      <x:c r="P61" s="39" t="n">
        <x:v>28</x:v>
      </x:c>
    </x:row>
    <x:row r="62">
      <x:c r="A62" s="37" t="n">
        <x:v>56</x:v>
      </x:c>
      <x:c r="B62" s="37" t="str">
        <x:v>WP-056</x:v>
      </x:c>
      <x:c r="C62" s="37" t="str">
        <x:v>API-TASK-009</x:v>
      </x:c>
      <x:c r="D62" s="37" t="str">
        <x:v>API-TASK-009_添付登録詳細設計書.xlsx</x:v>
      </x:c>
      <x:c r="E62" s="37" t="str">
        <x:v>添付登録</x:v>
      </x:c>
      <x:c r="F62" s="37" t="str">
        <x:v>API</x:v>
      </x:c>
      <x:c r="G62" s="37" t="str">
        <x:v>Spring Boot</x:v>
      </x:c>
      <x:c r="H62" s="37" t="str">
        <x:v>Task/File</x:v>
      </x:c>
      <x:c r="I62" s="37" t="str">
        <x:v>PG-04</x:v>
      </x:c>
      <x:c r="J62" s="37" t="str">
        <x:v>高</x:v>
      </x:c>
      <x:c r="K62" s="37" t="str">
        <x:v>13_タスクとファイル_API基本設計書.xlsx</x:v>
      </x:c>
      <x:c r="L62" s="37" t="str">
        <x:v>POST /api/v1/tasks/{id}/attachments</x:v>
      </x:c>
      <x:c r="M62" s="39" t="n">
        <x:v>21</x:v>
      </x:c>
      <x:c r="N62" s="39" t="n">
        <x:v>28</x:v>
      </x:c>
      <x:c r="O62" s="39" t="n">
        <x:v>21</x:v>
      </x:c>
      <x:c r="P62" s="39" t="n">
        <x:v>70</x:v>
      </x:c>
    </x:row>
    <x:row r="63">
      <x:c r="A63" s="37" t="n">
        <x:v>57</x:v>
      </x:c>
      <x:c r="B63" s="37" t="str">
        <x:v>WP-057</x:v>
      </x:c>
      <x:c r="C63" s="37" t="str">
        <x:v>API-TASK-010</x:v>
      </x:c>
      <x:c r="D63" s="37" t="str">
        <x:v>API-TASK-010_添付取得詳細設計書.xlsx</x:v>
      </x:c>
      <x:c r="E63" s="37" t="str">
        <x:v>添付取得</x:v>
      </x:c>
      <x:c r="F63" s="37" t="str">
        <x:v>API</x:v>
      </x:c>
      <x:c r="G63" s="37" t="str">
        <x:v>Spring Boot</x:v>
      </x:c>
      <x:c r="H63" s="37" t="str">
        <x:v>Task/File</x:v>
      </x:c>
      <x:c r="I63" s="37" t="str">
        <x:v>PG-04</x:v>
      </x:c>
      <x:c r="J63" s="37" t="str">
        <x:v>高</x:v>
      </x:c>
      <x:c r="K63" s="37" t="str">
        <x:v>13_タスクとファイル_API基本設計書.xlsx</x:v>
      </x:c>
      <x:c r="L63" s="37" t="str">
        <x:v>GET /api/v1/tasks/{id}/attachments/{attachmentId}</x:v>
      </x:c>
      <x:c r="M63" s="39" t="n">
        <x:v>21</x:v>
      </x:c>
      <x:c r="N63" s="39" t="n">
        <x:v>28</x:v>
      </x:c>
      <x:c r="O63" s="39" t="n">
        <x:v>21</x:v>
      </x:c>
      <x:c r="P63" s="39" t="n">
        <x:v>70</x:v>
      </x:c>
    </x:row>
    <x:row r="64">
      <x:c r="A64" s="37" t="n">
        <x:v>58</x:v>
      </x:c>
      <x:c r="B64" s="37" t="str">
        <x:v>WP-058</x:v>
      </x:c>
      <x:c r="C64" s="37" t="str">
        <x:v>API-TASK-011</x:v>
      </x:c>
      <x:c r="D64" s="37" t="str">
        <x:v>API-TASK-011_添付削除詳細設計書.xlsx</x:v>
      </x:c>
      <x:c r="E64" s="37" t="str">
        <x:v>添付削除</x:v>
      </x:c>
      <x:c r="F64" s="37" t="str">
        <x:v>API</x:v>
      </x:c>
      <x:c r="G64" s="37" t="str">
        <x:v>Spring Boot</x:v>
      </x:c>
      <x:c r="H64" s="37" t="str">
        <x:v>Task/File</x:v>
      </x:c>
      <x:c r="I64" s="37" t="str">
        <x:v>PG-04</x:v>
      </x:c>
      <x:c r="J64" s="37" t="str">
        <x:v>高</x:v>
      </x:c>
      <x:c r="K64" s="37" t="str">
        <x:v>13_タスクとファイル_API基本設計書.xlsx</x:v>
      </x:c>
      <x:c r="L64" s="37" t="str">
        <x:v>DELETE /api/v1/tasks/{id}/attachments/{attachmentId}</x:v>
      </x:c>
      <x:c r="M64" s="39" t="n">
        <x:v>21</x:v>
      </x:c>
      <x:c r="N64" s="39" t="n">
        <x:v>28</x:v>
      </x:c>
      <x:c r="O64" s="39" t="n">
        <x:v>21</x:v>
      </x:c>
      <x:c r="P64" s="39" t="n">
        <x:v>70</x:v>
      </x:c>
    </x:row>
    <x:row r="65">
      <x:c r="A65" s="37" t="n">
        <x:v>59</x:v>
      </x:c>
      <x:c r="B65" s="37" t="str">
        <x:v>WP-059</x:v>
      </x:c>
      <x:c r="C65" s="37" t="str">
        <x:v>API-RPT-001</x:v>
      </x:c>
      <x:c r="D65" s="37" t="str">
        <x:v>API-RPT-001_日報検索詳細設計書.xlsx</x:v>
      </x:c>
      <x:c r="E65" s="37" t="str">
        <x:v>日報検索</x:v>
      </x:c>
      <x:c r="F65" s="37" t="str">
        <x:v>API</x:v>
      </x:c>
      <x:c r="G65" s="37" t="str">
        <x:v>Spring Boot</x:v>
      </x:c>
      <x:c r="H65" s="37" t="str">
        <x:v>日報</x:v>
      </x:c>
      <x:c r="I65" s="37" t="str">
        <x:v>PG-05</x:v>
      </x:c>
      <x:c r="J65" s="37" t="str">
        <x:v>低</x:v>
      </x:c>
      <x:c r="K65" s="37" t="str">
        <x:v>14_日報と通知_API基本設計書.xlsx</x:v>
      </x:c>
      <x:c r="L65" s="37" t="str">
        <x:v>GET /api/v1/daily-reports</x:v>
      </x:c>
      <x:c r="M65" s="39" t="n">
        <x:v>7</x:v>
      </x:c>
      <x:c r="N65" s="39" t="n">
        <x:v>14</x:v>
      </x:c>
      <x:c r="O65" s="39" t="n">
        <x:v>7</x:v>
      </x:c>
      <x:c r="P65" s="39" t="n">
        <x:v>28</x:v>
      </x:c>
    </x:row>
    <x:row r="66">
      <x:c r="A66" s="37" t="n">
        <x:v>60</x:v>
      </x:c>
      <x:c r="B66" s="37" t="str">
        <x:v>WP-060</x:v>
      </x:c>
      <x:c r="C66" s="37" t="str">
        <x:v>API-RPT-002</x:v>
      </x:c>
      <x:c r="D66" s="37" t="str">
        <x:v>API-RPT-002_日報詳細詳細設計書.xlsx</x:v>
      </x:c>
      <x:c r="E66" s="37" t="str">
        <x:v>日報詳細</x:v>
      </x:c>
      <x:c r="F66" s="37" t="str">
        <x:v>API</x:v>
      </x:c>
      <x:c r="G66" s="37" t="str">
        <x:v>Spring Boot</x:v>
      </x:c>
      <x:c r="H66" s="37" t="str">
        <x:v>日報</x:v>
      </x:c>
      <x:c r="I66" s="37" t="str">
        <x:v>PG-05</x:v>
      </x:c>
      <x:c r="J66" s="37" t="str">
        <x:v>低</x:v>
      </x:c>
      <x:c r="K66" s="37" t="str">
        <x:v>14_日報と通知_API基本設計書.xlsx</x:v>
      </x:c>
      <x:c r="L66" s="37" t="str">
        <x:v>GET /api/v1/daily-reports/{id}</x:v>
      </x:c>
      <x:c r="M66" s="39" t="n">
        <x:v>7</x:v>
      </x:c>
      <x:c r="N66" s="39" t="n">
        <x:v>14</x:v>
      </x:c>
      <x:c r="O66" s="39" t="n">
        <x:v>7</x:v>
      </x:c>
      <x:c r="P66" s="39" t="n">
        <x:v>28</x:v>
      </x:c>
    </x:row>
    <x:row r="67">
      <x:c r="A67" s="37" t="n">
        <x:v>61</x:v>
      </x:c>
      <x:c r="B67" s="37" t="str">
        <x:v>WP-061</x:v>
      </x:c>
      <x:c r="C67" s="37" t="str">
        <x:v>API-RPT-003</x:v>
      </x:c>
      <x:c r="D67" s="37" t="str">
        <x:v>API-RPT-003_日報登録詳細設計書.xlsx</x:v>
      </x:c>
      <x:c r="E67" s="37" t="str">
        <x:v>日報登録</x:v>
      </x:c>
      <x:c r="F67" s="37" t="str">
        <x:v>API</x:v>
      </x:c>
      <x:c r="G67" s="37" t="str">
        <x:v>Spring Boot</x:v>
      </x:c>
      <x:c r="H67" s="37" t="str">
        <x:v>日報</x:v>
      </x:c>
      <x:c r="I67" s="37" t="str">
        <x:v>PG-05</x:v>
      </x:c>
      <x:c r="J67" s="37" t="str">
        <x:v>中</x:v>
      </x:c>
      <x:c r="K67" s="37" t="str">
        <x:v>14_日報と通知_API基本設計書.xlsx</x:v>
      </x:c>
      <x:c r="L67" s="37" t="str">
        <x:v>POST /api/v1/daily-reports</x:v>
      </x:c>
      <x:c r="M67" s="39" t="n">
        <x:v>14</x:v>
      </x:c>
      <x:c r="N67" s="39" t="n">
        <x:v>21</x:v>
      </x:c>
      <x:c r="O67" s="39" t="n">
        <x:v>14</x:v>
      </x:c>
      <x:c r="P67" s="39" t="n">
        <x:v>49</x:v>
      </x:c>
    </x:row>
    <x:row r="68">
      <x:c r="A68" s="37" t="n">
        <x:v>62</x:v>
      </x:c>
      <x:c r="B68" s="37" t="str">
        <x:v>WP-062</x:v>
      </x:c>
      <x:c r="C68" s="37" t="str">
        <x:v>API-RPT-004</x:v>
      </x:c>
      <x:c r="D68" s="37" t="str">
        <x:v>API-RPT-004_日報更新詳細設計書.xlsx</x:v>
      </x:c>
      <x:c r="E68" s="37" t="str">
        <x:v>日報更新</x:v>
      </x:c>
      <x:c r="F68" s="37" t="str">
        <x:v>API</x:v>
      </x:c>
      <x:c r="G68" s="37" t="str">
        <x:v>Spring Boot</x:v>
      </x:c>
      <x:c r="H68" s="37" t="str">
        <x:v>日報</x:v>
      </x:c>
      <x:c r="I68" s="37" t="str">
        <x:v>PG-05</x:v>
      </x:c>
      <x:c r="J68" s="37" t="str">
        <x:v>中</x:v>
      </x:c>
      <x:c r="K68" s="37" t="str">
        <x:v>14_日報と通知_API基本設計書.xlsx</x:v>
      </x:c>
      <x:c r="L68" s="37" t="str">
        <x:v>PUT /api/v1/daily-reports/{id}</x:v>
      </x:c>
      <x:c r="M68" s="39" t="n">
        <x:v>14</x:v>
      </x:c>
      <x:c r="N68" s="39" t="n">
        <x:v>21</x:v>
      </x:c>
      <x:c r="O68" s="39" t="n">
        <x:v>14</x:v>
      </x:c>
      <x:c r="P68" s="39" t="n">
        <x:v>49</x:v>
      </x:c>
    </x:row>
    <x:row r="69">
      <x:c r="A69" s="37" t="n">
        <x:v>63</x:v>
      </x:c>
      <x:c r="B69" s="37" t="str">
        <x:v>WP-063</x:v>
      </x:c>
      <x:c r="C69" s="37" t="str">
        <x:v>API-RPT-005</x:v>
      </x:c>
      <x:c r="D69" s="37" t="str">
        <x:v>API-RPT-005_日報削除詳細設計書.xlsx</x:v>
      </x:c>
      <x:c r="E69" s="37" t="str">
        <x:v>日報削除</x:v>
      </x:c>
      <x:c r="F69" s="37" t="str">
        <x:v>API</x:v>
      </x:c>
      <x:c r="G69" s="37" t="str">
        <x:v>Spring Boot</x:v>
      </x:c>
      <x:c r="H69" s="37" t="str">
        <x:v>日報</x:v>
      </x:c>
      <x:c r="I69" s="37" t="str">
        <x:v>PG-05</x:v>
      </x:c>
      <x:c r="J69" s="37" t="str">
        <x:v>中</x:v>
      </x:c>
      <x:c r="K69" s="37" t="str">
        <x:v>14_日報と通知_API基本設計書.xlsx</x:v>
      </x:c>
      <x:c r="L69" s="37" t="str">
        <x:v>DELETE /api/v1/daily-reports/{id}</x:v>
      </x:c>
      <x:c r="M69" s="39" t="n">
        <x:v>14</x:v>
      </x:c>
      <x:c r="N69" s="39" t="n">
        <x:v>21</x:v>
      </x:c>
      <x:c r="O69" s="39" t="n">
        <x:v>14</x:v>
      </x:c>
      <x:c r="P69" s="39" t="n">
        <x:v>49</x:v>
      </x:c>
    </x:row>
    <x:row r="70">
      <x:c r="A70" s="37" t="n">
        <x:v>64</x:v>
      </x:c>
      <x:c r="B70" s="37" t="str">
        <x:v>WP-064</x:v>
      </x:c>
      <x:c r="C70" s="37" t="str">
        <x:v>API-RPT-006</x:v>
      </x:c>
      <x:c r="D70" s="37" t="str">
        <x:v>API-RPT-006_未提出者検索詳細設計書.xlsx</x:v>
      </x:c>
      <x:c r="E70" s="37" t="str">
        <x:v>未提出者検索</x:v>
      </x:c>
      <x:c r="F70" s="37" t="str">
        <x:v>API</x:v>
      </x:c>
      <x:c r="G70" s="37" t="str">
        <x:v>Spring Boot</x:v>
      </x:c>
      <x:c r="H70" s="37" t="str">
        <x:v>日報</x:v>
      </x:c>
      <x:c r="I70" s="37" t="str">
        <x:v>PG-05</x:v>
      </x:c>
      <x:c r="J70" s="37" t="str">
        <x:v>低</x:v>
      </x:c>
      <x:c r="K70" s="37" t="str">
        <x:v>14_日報と通知_API基本設計書.xlsx</x:v>
      </x:c>
      <x:c r="L70" s="37" t="str">
        <x:v>GET /api/v1/daily-reports/missing</x:v>
      </x:c>
      <x:c r="M70" s="39" t="n">
        <x:v>7</x:v>
      </x:c>
      <x:c r="N70" s="39" t="n">
        <x:v>14</x:v>
      </x:c>
      <x:c r="O70" s="39" t="n">
        <x:v>7</x:v>
      </x:c>
      <x:c r="P70" s="39" t="n">
        <x:v>28</x:v>
      </x:c>
    </x:row>
    <x:row r="71">
      <x:c r="A71" s="37" t="n">
        <x:v>65</x:v>
      </x:c>
      <x:c r="B71" s="37" t="str">
        <x:v>WP-065</x:v>
      </x:c>
      <x:c r="C71" s="37" t="str">
        <x:v>API-NTF-001</x:v>
      </x:c>
      <x:c r="D71" s="37" t="str">
        <x:v>API-NTF-001_通知一覧詳細設計書.xlsx</x:v>
      </x:c>
      <x:c r="E71" s="37" t="str">
        <x:v>通知一覧</x:v>
      </x:c>
      <x:c r="F71" s="37" t="str">
        <x:v>API</x:v>
      </x:c>
      <x:c r="G71" s="37" t="str">
        <x:v>Spring Boot</x:v>
      </x:c>
      <x:c r="H71" s="37" t="str">
        <x:v>通知</x:v>
      </x:c>
      <x:c r="I71" s="37" t="str">
        <x:v>PG-05</x:v>
      </x:c>
      <x:c r="J71" s="37" t="str">
        <x:v>低</x:v>
      </x:c>
      <x:c r="K71" s="37" t="str">
        <x:v>14_日報と通知_API基本設計書.xlsx</x:v>
      </x:c>
      <x:c r="L71" s="37" t="str">
        <x:v>GET /api/v1/notifications</x:v>
      </x:c>
      <x:c r="M71" s="39" t="n">
        <x:v>7</x:v>
      </x:c>
      <x:c r="N71" s="39" t="n">
        <x:v>14</x:v>
      </x:c>
      <x:c r="O71" s="39" t="n">
        <x:v>7</x:v>
      </x:c>
      <x:c r="P71" s="39" t="n">
        <x:v>28</x:v>
      </x:c>
    </x:row>
    <x:row r="72">
      <x:c r="A72" s="37" t="n">
        <x:v>66</x:v>
      </x:c>
      <x:c r="B72" s="37" t="str">
        <x:v>WP-066</x:v>
      </x:c>
      <x:c r="C72" s="37" t="str">
        <x:v>API-NTF-002</x:v>
      </x:c>
      <x:c r="D72" s="37" t="str">
        <x:v>API-NTF-002_未読件数詳細設計書.xlsx</x:v>
      </x:c>
      <x:c r="E72" s="37" t="str">
        <x:v>未読件数</x:v>
      </x:c>
      <x:c r="F72" s="37" t="str">
        <x:v>API</x:v>
      </x:c>
      <x:c r="G72" s="37" t="str">
        <x:v>Spring Boot</x:v>
      </x:c>
      <x:c r="H72" s="37" t="str">
        <x:v>通知</x:v>
      </x:c>
      <x:c r="I72" s="37" t="str">
        <x:v>PG-05</x:v>
      </x:c>
      <x:c r="J72" s="37" t="str">
        <x:v>低</x:v>
      </x:c>
      <x:c r="K72" s="37" t="str">
        <x:v>14_日報と通知_API基本設計書.xlsx</x:v>
      </x:c>
      <x:c r="L72" s="37" t="str">
        <x:v>GET /api/v1/notifications/unread-count</x:v>
      </x:c>
      <x:c r="M72" s="39" t="n">
        <x:v>7</x:v>
      </x:c>
      <x:c r="N72" s="39" t="n">
        <x:v>14</x:v>
      </x:c>
      <x:c r="O72" s="39" t="n">
        <x:v>7</x:v>
      </x:c>
      <x:c r="P72" s="39" t="n">
        <x:v>28</x:v>
      </x:c>
    </x:row>
    <x:row r="73">
      <x:c r="A73" s="37" t="n">
        <x:v>67</x:v>
      </x:c>
      <x:c r="B73" s="37" t="str">
        <x:v>WP-067</x:v>
      </x:c>
      <x:c r="C73" s="37" t="str">
        <x:v>API-NTF-003</x:v>
      </x:c>
      <x:c r="D73" s="37" t="str">
        <x:v>API-NTF-003_既読化詳細設計書.xlsx</x:v>
      </x:c>
      <x:c r="E73" s="37" t="str">
        <x:v>既読化</x:v>
      </x:c>
      <x:c r="F73" s="37" t="str">
        <x:v>API</x:v>
      </x:c>
      <x:c r="G73" s="37" t="str">
        <x:v>Spring Boot</x:v>
      </x:c>
      <x:c r="H73" s="37" t="str">
        <x:v>通知</x:v>
      </x:c>
      <x:c r="I73" s="37" t="str">
        <x:v>PG-05</x:v>
      </x:c>
      <x:c r="J73" s="37" t="str">
        <x:v>中</x:v>
      </x:c>
      <x:c r="K73" s="37" t="str">
        <x:v>14_日報と通知_API基本設計書.xlsx</x:v>
      </x:c>
      <x:c r="L73" s="37" t="str">
        <x:v>PATCH /api/v1/notifications/{id}/read</x:v>
      </x:c>
      <x:c r="M73" s="39" t="n">
        <x:v>14</x:v>
      </x:c>
      <x:c r="N73" s="39" t="n">
        <x:v>21</x:v>
      </x:c>
      <x:c r="O73" s="39" t="n">
        <x:v>14</x:v>
      </x:c>
      <x:c r="P73" s="39" t="n">
        <x:v>49</x:v>
      </x:c>
    </x:row>
    <x:row r="74">
      <x:c r="A74" s="37" t="n">
        <x:v>68</x:v>
      </x:c>
      <x:c r="B74" s="37" t="str">
        <x:v>WP-068</x:v>
      </x:c>
      <x:c r="C74" s="37" t="str">
        <x:v>API-NTF-004</x:v>
      </x:c>
      <x:c r="D74" s="37" t="str">
        <x:v>API-NTF-004_全件既読詳細設計書.xlsx</x:v>
      </x:c>
      <x:c r="E74" s="37" t="str">
        <x:v>全件既読</x:v>
      </x:c>
      <x:c r="F74" s="37" t="str">
        <x:v>API</x:v>
      </x:c>
      <x:c r="G74" s="37" t="str">
        <x:v>Spring Boot</x:v>
      </x:c>
      <x:c r="H74" s="37" t="str">
        <x:v>通知</x:v>
      </x:c>
      <x:c r="I74" s="37" t="str">
        <x:v>PG-05</x:v>
      </x:c>
      <x:c r="J74" s="37" t="str">
        <x:v>中</x:v>
      </x:c>
      <x:c r="K74" s="37" t="str">
        <x:v>14_日報と通知_API基本設計書.xlsx</x:v>
      </x:c>
      <x:c r="L74" s="37" t="str">
        <x:v>PATCH /api/v1/notifications/read-all</x:v>
      </x:c>
      <x:c r="M74" s="39" t="n">
        <x:v>14</x:v>
      </x:c>
      <x:c r="N74" s="39" t="n">
        <x:v>21</x:v>
      </x:c>
      <x:c r="O74" s="39" t="n">
        <x:v>14</x:v>
      </x:c>
      <x:c r="P74" s="39" t="n">
        <x:v>49</x:v>
      </x:c>
    </x:row>
    <x:row r="75">
      <x:c r="A75" s="37" t="n">
        <x:v>69</x:v>
      </x:c>
      <x:c r="B75" s="37" t="str">
        <x:v>WP-069</x:v>
      </x:c>
      <x:c r="C75" s="37" t="str">
        <x:v>SCR-001-VUE</x:v>
      </x:c>
      <x:c r="D75" s="37" t="str">
        <x:v>SCR-001-VUE_ログイン画面（Vue）詳細設計書.xlsx</x:v>
      </x:c>
      <x:c r="E75" s="37" t="str">
        <x:v>ログイン画面（Vue）</x:v>
      </x:c>
      <x:c r="F75" s="37" t="str">
        <x:v>画面</x:v>
      </x:c>
      <x:c r="G75" s="37" t="str">
        <x:v>Vue</x:v>
      </x:c>
      <x:c r="H75" s="37" t="str">
        <x:v>認証</x:v>
      </x:c>
      <x:c r="I75" s="37" t="str">
        <x:v>PG-01</x:v>
      </x:c>
      <x:c r="J75" s="37" t="str">
        <x:v>低</x:v>
      </x:c>
      <x:c r="K75" s="37" t="str">
        <x:v>04_認証とホーム_画面基本設計書.xlsx</x:v>
      </x:c>
      <x:c r="L75" s="37" t="str">
        <x:v>基本画面ID=SCR-001／Frontend技術Route=Vue</x:v>
      </x:c>
      <x:c r="M75" s="39" t="n">
        <x:v>7</x:v>
      </x:c>
      <x:c r="N75" s="39" t="n">
        <x:v>14</x:v>
      </x:c>
      <x:c r="O75" s="39" t="n">
        <x:v>7</x:v>
      </x:c>
      <x:c r="P75" s="39" t="n">
        <x:v>28</x:v>
      </x:c>
    </x:row>
    <x:row r="76">
      <x:c r="A76" s="37" t="n">
        <x:v>70</x:v>
      </x:c>
      <x:c r="B76" s="37" t="str">
        <x:v>WP-070</x:v>
      </x:c>
      <x:c r="C76" s="37" t="str">
        <x:v>SCR-002-VUE</x:v>
      </x:c>
      <x:c r="D76" s="37" t="str">
        <x:v>SCR-002-VUE_ホームダッシュボード画面（Vue）詳細設計書.xlsx</x:v>
      </x:c>
      <x:c r="E76" s="37" t="str">
        <x:v>ホームダッシュボード画面（Vue）</x:v>
      </x:c>
      <x:c r="F76" s="37" t="str">
        <x:v>画面</x:v>
      </x:c>
      <x:c r="G76" s="37" t="str">
        <x:v>Vue</x:v>
      </x:c>
      <x:c r="H76" s="37" t="str">
        <x:v>ホーム</x:v>
      </x:c>
      <x:c r="I76" s="37" t="str">
        <x:v>PG-01</x:v>
      </x:c>
      <x:c r="J76" s="37" t="str">
        <x:v>高</x:v>
      </x:c>
      <x:c r="K76" s="37" t="str">
        <x:v>04_認証とホーム_画面基本設計書.xlsx</x:v>
      </x:c>
      <x:c r="L76" s="37" t="str">
        <x:v>基本画面ID=SCR-002／Frontend技術Route=Vue</x:v>
      </x:c>
      <x:c r="M76" s="39" t="n">
        <x:v>21</x:v>
      </x:c>
      <x:c r="N76" s="39" t="n">
        <x:v>28</x:v>
      </x:c>
      <x:c r="O76" s="39" t="n">
        <x:v>21</x:v>
      </x:c>
      <x:c r="P76" s="39" t="n">
        <x:v>70</x:v>
      </x:c>
    </x:row>
    <x:row r="77">
      <x:c r="A77" s="37" t="n">
        <x:v>71</x:v>
      </x:c>
      <x:c r="B77" s="37" t="str">
        <x:v>WP-071</x:v>
      </x:c>
      <x:c r="C77" s="37" t="str">
        <x:v>SCR-003-VUE</x:v>
      </x:c>
      <x:c r="D77" s="37" t="str">
        <x:v>SCR-003-VUE_従業員一覧画面（Vue）詳細設計書.xlsx</x:v>
      </x:c>
      <x:c r="E77" s="37" t="str">
        <x:v>従業員一覧画面（Vue）</x:v>
      </x:c>
      <x:c r="F77" s="37" t="str">
        <x:v>画面</x:v>
      </x:c>
      <x:c r="G77" s="37" t="str">
        <x:v>Vue</x:v>
      </x:c>
      <x:c r="H77" s="37" t="str">
        <x:v>組織管理</x:v>
      </x:c>
      <x:c r="I77" s="37" t="str">
        <x:v>PG-02</x:v>
      </x:c>
      <x:c r="J77" s="37" t="str">
        <x:v>低</x:v>
      </x:c>
      <x:c r="K77" s="37" t="str">
        <x:v>05_従業員と部門_画面基本設計書.xlsx</x:v>
      </x:c>
      <x:c r="L77" s="37" t="str">
        <x:v>基本画面ID=SCR-003／Frontend技術Route=Vue</x:v>
      </x:c>
      <x:c r="M77" s="39" t="n">
        <x:v>7</x:v>
      </x:c>
      <x:c r="N77" s="39" t="n">
        <x:v>14</x:v>
      </x:c>
      <x:c r="O77" s="39" t="n">
        <x:v>7</x:v>
      </x:c>
      <x:c r="P77" s="39" t="n">
        <x:v>28</x:v>
      </x:c>
    </x:row>
    <x:row r="78">
      <x:c r="A78" s="37" t="n">
        <x:v>72</x:v>
      </x:c>
      <x:c r="B78" s="37" t="str">
        <x:v>WP-072</x:v>
      </x:c>
      <x:c r="C78" s="37" t="str">
        <x:v>SCR-004-VUE</x:v>
      </x:c>
      <x:c r="D78" s="37" t="str">
        <x:v>SCR-004-VUE_従業員登録画面（Vue）詳細設計書.xlsx</x:v>
      </x:c>
      <x:c r="E78" s="37" t="str">
        <x:v>従業員登録画面（Vue）</x:v>
      </x:c>
      <x:c r="F78" s="37" t="str">
        <x:v>画面</x:v>
      </x:c>
      <x:c r="G78" s="37" t="str">
        <x:v>Vue</x:v>
      </x:c>
      <x:c r="H78" s="37" t="str">
        <x:v>組織管理</x:v>
      </x:c>
      <x:c r="I78" s="37" t="str">
        <x:v>PG-02</x:v>
      </x:c>
      <x:c r="J78" s="37" t="str">
        <x:v>中</x:v>
      </x:c>
      <x:c r="K78" s="37" t="str">
        <x:v>05_従業員と部門_画面基本設計書.xlsx</x:v>
      </x:c>
      <x:c r="L78" s="37" t="str">
        <x:v>基本画面ID=SCR-004／Frontend技術Route=Vue</x:v>
      </x:c>
      <x:c r="M78" s="39" t="n">
        <x:v>14</x:v>
      </x:c>
      <x:c r="N78" s="39" t="n">
        <x:v>21</x:v>
      </x:c>
      <x:c r="O78" s="39" t="n">
        <x:v>14</x:v>
      </x:c>
      <x:c r="P78" s="39" t="n">
        <x:v>49</x:v>
      </x:c>
    </x:row>
    <x:row r="79">
      <x:c r="A79" s="37" t="n">
        <x:v>73</x:v>
      </x:c>
      <x:c r="B79" s="37" t="str">
        <x:v>WP-073</x:v>
      </x:c>
      <x:c r="C79" s="37" t="str">
        <x:v>SCR-005-VUE</x:v>
      </x:c>
      <x:c r="D79" s="37" t="str">
        <x:v>SCR-005-VUE_従業員編集画面（Vue）詳細設計書.xlsx</x:v>
      </x:c>
      <x:c r="E79" s="37" t="str">
        <x:v>従業員編集画面（Vue）</x:v>
      </x:c>
      <x:c r="F79" s="37" t="str">
        <x:v>画面</x:v>
      </x:c>
      <x:c r="G79" s="37" t="str">
        <x:v>Vue</x:v>
      </x:c>
      <x:c r="H79" s="37" t="str">
        <x:v>組織管理</x:v>
      </x:c>
      <x:c r="I79" s="37" t="str">
        <x:v>PG-02</x:v>
      </x:c>
      <x:c r="J79" s="37" t="str">
        <x:v>中</x:v>
      </x:c>
      <x:c r="K79" s="37" t="str">
        <x:v>05_従業員と部門_画面基本設計書.xlsx</x:v>
      </x:c>
      <x:c r="L79" s="37" t="str">
        <x:v>基本画面ID=SCR-005／Frontend技術Route=Vue</x:v>
      </x:c>
      <x:c r="M79" s="39" t="n">
        <x:v>14</x:v>
      </x:c>
      <x:c r="N79" s="39" t="n">
        <x:v>21</x:v>
      </x:c>
      <x:c r="O79" s="39" t="n">
        <x:v>14</x:v>
      </x:c>
      <x:c r="P79" s="39" t="n">
        <x:v>49</x:v>
      </x:c>
    </x:row>
    <x:row r="80">
      <x:c r="A80" s="37" t="n">
        <x:v>74</x:v>
      </x:c>
      <x:c r="B80" s="37" t="str">
        <x:v>WP-074</x:v>
      </x:c>
      <x:c r="C80" s="37" t="str">
        <x:v>SCR-006-VUE</x:v>
      </x:c>
      <x:c r="D80" s="37" t="str">
        <x:v>SCR-006-VUE_従業員詳細画面（Vue）詳細設計書.xlsx</x:v>
      </x:c>
      <x:c r="E80" s="37" t="str">
        <x:v>従業員詳細画面（Vue）</x:v>
      </x:c>
      <x:c r="F80" s="37" t="str">
        <x:v>画面</x:v>
      </x:c>
      <x:c r="G80" s="37" t="str">
        <x:v>Vue</x:v>
      </x:c>
      <x:c r="H80" s="37" t="str">
        <x:v>組織管理</x:v>
      </x:c>
      <x:c r="I80" s="37" t="str">
        <x:v>PG-02</x:v>
      </x:c>
      <x:c r="J80" s="37" t="str">
        <x:v>高</x:v>
      </x:c>
      <x:c r="K80" s="37" t="str">
        <x:v>05_従業員と部門_画面基本設計書.xlsx</x:v>
      </x:c>
      <x:c r="L80" s="37" t="str">
        <x:v>基本画面ID=SCR-006／Frontend技術Route=Vue</x:v>
      </x:c>
      <x:c r="M80" s="39" t="n">
        <x:v>21</x:v>
      </x:c>
      <x:c r="N80" s="39" t="n">
        <x:v>28</x:v>
      </x:c>
      <x:c r="O80" s="39" t="n">
        <x:v>21</x:v>
      </x:c>
      <x:c r="P80" s="39" t="n">
        <x:v>70</x:v>
      </x:c>
    </x:row>
    <x:row r="81">
      <x:c r="A81" s="37" t="n">
        <x:v>75</x:v>
      </x:c>
      <x:c r="B81" s="37" t="str">
        <x:v>WP-075</x:v>
      </x:c>
      <x:c r="C81" s="37" t="str">
        <x:v>SCR-007-VUE</x:v>
      </x:c>
      <x:c r="D81" s="37" t="str">
        <x:v>SCR-007-VUE_部門管理画面（Vue）詳細設計書.xlsx</x:v>
      </x:c>
      <x:c r="E81" s="37" t="str">
        <x:v>部門管理画面（Vue）</x:v>
      </x:c>
      <x:c r="F81" s="37" t="str">
        <x:v>画面</x:v>
      </x:c>
      <x:c r="G81" s="37" t="str">
        <x:v>Vue</x:v>
      </x:c>
      <x:c r="H81" s="37" t="str">
        <x:v>組織管理</x:v>
      </x:c>
      <x:c r="I81" s="37" t="str">
        <x:v>PG-02</x:v>
      </x:c>
      <x:c r="J81" s="37" t="str">
        <x:v>高</x:v>
      </x:c>
      <x:c r="K81" s="37" t="str">
        <x:v>05_従業員と部門_画面基本設計書.xlsx</x:v>
      </x:c>
      <x:c r="L81" s="37" t="str">
        <x:v>基本画面ID=SCR-007／Frontend技術Route=Vue</x:v>
      </x:c>
      <x:c r="M81" s="39" t="n">
        <x:v>21</x:v>
      </x:c>
      <x:c r="N81" s="39" t="n">
        <x:v>28</x:v>
      </x:c>
      <x:c r="O81" s="39" t="n">
        <x:v>21</x:v>
      </x:c>
      <x:c r="P81" s="39" t="n">
        <x:v>70</x:v>
      </x:c>
    </x:row>
    <x:row r="82">
      <x:c r="A82" s="37" t="n">
        <x:v>76</x:v>
      </x:c>
      <x:c r="B82" s="37" t="str">
        <x:v>WP-076</x:v>
      </x:c>
      <x:c r="C82" s="37" t="str">
        <x:v>SCR-008-REACT</x:v>
      </x:c>
      <x:c r="D82" s="37" t="str">
        <x:v>SCR-008-REACT_プロジェクト一覧画面（React）詳細設計書.xlsx</x:v>
      </x:c>
      <x:c r="E82" s="37" t="str">
        <x:v>プロジェクト一覧画面（React）</x:v>
      </x:c>
      <x:c r="F82" s="37" t="str">
        <x:v>画面</x:v>
      </x:c>
      <x:c r="G82" s="37" t="str">
        <x:v>React</x:v>
      </x:c>
      <x:c r="H82" s="37" t="str">
        <x:v>プロジェクト管理</x:v>
      </x:c>
      <x:c r="I82" s="37" t="str">
        <x:v>PG-03</x:v>
      </x:c>
      <x:c r="J82" s="37" t="str">
        <x:v>低</x:v>
      </x:c>
      <x:c r="K82" s="37" t="str">
        <x:v>06_プロジェクト管理_画面基本設計書.xlsx</x:v>
      </x:c>
      <x:c r="L82" s="37" t="str">
        <x:v>基本画面ID=SCR-008／Frontend技術Route=React</x:v>
      </x:c>
      <x:c r="M82" s="39" t="n">
        <x:v>7</x:v>
      </x:c>
      <x:c r="N82" s="39" t="n">
        <x:v>14</x:v>
      </x:c>
      <x:c r="O82" s="39" t="n">
        <x:v>7</x:v>
      </x:c>
      <x:c r="P82" s="39" t="n">
        <x:v>28</x:v>
      </x:c>
    </x:row>
    <x:row r="83">
      <x:c r="A83" s="37" t="n">
        <x:v>77</x:v>
      </x:c>
      <x:c r="B83" s="37" t="str">
        <x:v>WP-077</x:v>
      </x:c>
      <x:c r="C83" s="37" t="str">
        <x:v>SCR-009-REACT</x:v>
      </x:c>
      <x:c r="D83" s="37" t="str">
        <x:v>SCR-009-REACT_プロジェクト登録画面（React）詳細設計書.xlsx</x:v>
      </x:c>
      <x:c r="E83" s="37" t="str">
        <x:v>プロジェクト登録画面（React）</x:v>
      </x:c>
      <x:c r="F83" s="37" t="str">
        <x:v>画面</x:v>
      </x:c>
      <x:c r="G83" s="37" t="str">
        <x:v>React</x:v>
      </x:c>
      <x:c r="H83" s="37" t="str">
        <x:v>プロジェクト管理</x:v>
      </x:c>
      <x:c r="I83" s="37" t="str">
        <x:v>PG-03</x:v>
      </x:c>
      <x:c r="J83" s="37" t="str">
        <x:v>中</x:v>
      </x:c>
      <x:c r="K83" s="37" t="str">
        <x:v>06_プロジェクト管理_画面基本設計書.xlsx</x:v>
      </x:c>
      <x:c r="L83" s="37" t="str">
        <x:v>基本画面ID=SCR-009／Frontend技術Route=React</x:v>
      </x:c>
      <x:c r="M83" s="39" t="n">
        <x:v>14</x:v>
      </x:c>
      <x:c r="N83" s="39" t="n">
        <x:v>21</x:v>
      </x:c>
      <x:c r="O83" s="39" t="n">
        <x:v>14</x:v>
      </x:c>
      <x:c r="P83" s="39" t="n">
        <x:v>49</x:v>
      </x:c>
    </x:row>
    <x:row r="84">
      <x:c r="A84" s="37" t="n">
        <x:v>78</x:v>
      </x:c>
      <x:c r="B84" s="37" t="str">
        <x:v>WP-078</x:v>
      </x:c>
      <x:c r="C84" s="37" t="str">
        <x:v>SCR-010-REACT</x:v>
      </x:c>
      <x:c r="D84" s="37" t="str">
        <x:v>SCR-010-REACT_プロジェクト編集画面（React）詳細設計書.xlsx</x:v>
      </x:c>
      <x:c r="E84" s="37" t="str">
        <x:v>プロジェクト編集画面（React）</x:v>
      </x:c>
      <x:c r="F84" s="37" t="str">
        <x:v>画面</x:v>
      </x:c>
      <x:c r="G84" s="37" t="str">
        <x:v>React</x:v>
      </x:c>
      <x:c r="H84" s="37" t="str">
        <x:v>プロジェクト管理</x:v>
      </x:c>
      <x:c r="I84" s="37" t="str">
        <x:v>PG-03</x:v>
      </x:c>
      <x:c r="J84" s="37" t="str">
        <x:v>中</x:v>
      </x:c>
      <x:c r="K84" s="37" t="str">
        <x:v>06_プロジェクト管理_画面基本設計書.xlsx</x:v>
      </x:c>
      <x:c r="L84" s="37" t="str">
        <x:v>基本画面ID=SCR-010／Frontend技術Route=React</x:v>
      </x:c>
      <x:c r="M84" s="39" t="n">
        <x:v>14</x:v>
      </x:c>
      <x:c r="N84" s="39" t="n">
        <x:v>21</x:v>
      </x:c>
      <x:c r="O84" s="39" t="n">
        <x:v>14</x:v>
      </x:c>
      <x:c r="P84" s="39" t="n">
        <x:v>49</x:v>
      </x:c>
    </x:row>
    <x:row r="85">
      <x:c r="A85" s="37" t="n">
        <x:v>79</x:v>
      </x:c>
      <x:c r="B85" s="37" t="str">
        <x:v>WP-079</x:v>
      </x:c>
      <x:c r="C85" s="37" t="str">
        <x:v>SCR-011-REACT</x:v>
      </x:c>
      <x:c r="D85" s="37" t="str">
        <x:v>SCR-011-REACT_プロジェクト詳細画面（React）詳細設計書.xlsx</x:v>
      </x:c>
      <x:c r="E85" s="37" t="str">
        <x:v>プロジェクト詳細画面（React）</x:v>
      </x:c>
      <x:c r="F85" s="37" t="str">
        <x:v>画面</x:v>
      </x:c>
      <x:c r="G85" s="37" t="str">
        <x:v>React</x:v>
      </x:c>
      <x:c r="H85" s="37" t="str">
        <x:v>プロジェクト管理</x:v>
      </x:c>
      <x:c r="I85" s="37" t="str">
        <x:v>PG-03</x:v>
      </x:c>
      <x:c r="J85" s="37" t="str">
        <x:v>高</x:v>
      </x:c>
      <x:c r="K85" s="37" t="str">
        <x:v>06_プロジェクト管理_画面基本設計書.xlsx</x:v>
      </x:c>
      <x:c r="L85" s="37" t="str">
        <x:v>基本画面ID=SCR-011／Frontend技術Route=React</x:v>
      </x:c>
      <x:c r="M85" s="39" t="n">
        <x:v>21</x:v>
      </x:c>
      <x:c r="N85" s="39" t="n">
        <x:v>28</x:v>
      </x:c>
      <x:c r="O85" s="39" t="n">
        <x:v>21</x:v>
      </x:c>
      <x:c r="P85" s="39" t="n">
        <x:v>70</x:v>
      </x:c>
    </x:row>
    <x:row r="86">
      <x:c r="A86" s="37" t="n">
        <x:v>80</x:v>
      </x:c>
      <x:c r="B86" s="37" t="str">
        <x:v>WP-080</x:v>
      </x:c>
      <x:c r="C86" s="37" t="str">
        <x:v>SCR-012-REACT</x:v>
      </x:c>
      <x:c r="D86" s="37" t="str">
        <x:v>SCR-012-REACT_プロジェクトメンバー管理画面（React）詳細設計書.xlsx</x:v>
      </x:c>
      <x:c r="E86" s="37" t="str">
        <x:v>プロジェクトメンバー管理画面（React）</x:v>
      </x:c>
      <x:c r="F86" s="37" t="str">
        <x:v>画面</x:v>
      </x:c>
      <x:c r="G86" s="37" t="str">
        <x:v>React</x:v>
      </x:c>
      <x:c r="H86" s="37" t="str">
        <x:v>プロジェクト管理</x:v>
      </x:c>
      <x:c r="I86" s="37" t="str">
        <x:v>PG-03</x:v>
      </x:c>
      <x:c r="J86" s="37" t="str">
        <x:v>高</x:v>
      </x:c>
      <x:c r="K86" s="37" t="str">
        <x:v>06_プロジェクト管理_画面基本設計書.xlsx</x:v>
      </x:c>
      <x:c r="L86" s="37" t="str">
        <x:v>基本画面ID=SCR-012／Frontend技術Route=React</x:v>
      </x:c>
      <x:c r="M86" s="39" t="n">
        <x:v>21</x:v>
      </x:c>
      <x:c r="N86" s="39" t="n">
        <x:v>28</x:v>
      </x:c>
      <x:c r="O86" s="39" t="n">
        <x:v>21</x:v>
      </x:c>
      <x:c r="P86" s="39" t="n">
        <x:v>70</x:v>
      </x:c>
    </x:row>
    <x:row r="87">
      <x:c r="A87" s="37" t="n">
        <x:v>81</x:v>
      </x:c>
      <x:c r="B87" s="37" t="str">
        <x:v>WP-081</x:v>
      </x:c>
      <x:c r="C87" s="37" t="str">
        <x:v>SCR-013-REACT</x:v>
      </x:c>
      <x:c r="D87" s="37" t="str">
        <x:v>SCR-013-REACT_タスク一覧画面（React）詳細設計書.xlsx</x:v>
      </x:c>
      <x:c r="E87" s="37" t="str">
        <x:v>タスク一覧画面（React）</x:v>
      </x:c>
      <x:c r="F87" s="37" t="str">
        <x:v>画面</x:v>
      </x:c>
      <x:c r="G87" s="37" t="str">
        <x:v>React</x:v>
      </x:c>
      <x:c r="H87" s="37" t="str">
        <x:v>タスク管理</x:v>
      </x:c>
      <x:c r="I87" s="37" t="str">
        <x:v>PG-04</x:v>
      </x:c>
      <x:c r="J87" s="37" t="str">
        <x:v>低</x:v>
      </x:c>
      <x:c r="K87" s="37" t="str">
        <x:v>07_タスク管理_画面基本設計書.xlsx</x:v>
      </x:c>
      <x:c r="L87" s="37" t="str">
        <x:v>基本画面ID=SCR-013／Frontend技術Route=React</x:v>
      </x:c>
      <x:c r="M87" s="39" t="n">
        <x:v>7</x:v>
      </x:c>
      <x:c r="N87" s="39" t="n">
        <x:v>14</x:v>
      </x:c>
      <x:c r="O87" s="39" t="n">
        <x:v>7</x:v>
      </x:c>
      <x:c r="P87" s="39" t="n">
        <x:v>28</x:v>
      </x:c>
    </x:row>
    <x:row r="88">
      <x:c r="A88" s="37" t="n">
        <x:v>82</x:v>
      </x:c>
      <x:c r="B88" s="37" t="str">
        <x:v>WP-082</x:v>
      </x:c>
      <x:c r="C88" s="37" t="str">
        <x:v>SCR-014-REACT</x:v>
      </x:c>
      <x:c r="D88" s="37" t="str">
        <x:v>SCR-014-REACT_マイタスク画面（React）詳細設計書.xlsx</x:v>
      </x:c>
      <x:c r="E88" s="37" t="str">
        <x:v>マイタスク画面（React）</x:v>
      </x:c>
      <x:c r="F88" s="37" t="str">
        <x:v>画面</x:v>
      </x:c>
      <x:c r="G88" s="37" t="str">
        <x:v>React</x:v>
      </x:c>
      <x:c r="H88" s="37" t="str">
        <x:v>タスク管理</x:v>
      </x:c>
      <x:c r="I88" s="37" t="str">
        <x:v>PG-04</x:v>
      </x:c>
      <x:c r="J88" s="37" t="str">
        <x:v>低</x:v>
      </x:c>
      <x:c r="K88" s="37" t="str">
        <x:v>07_タスク管理_画面基本設計書.xlsx</x:v>
      </x:c>
      <x:c r="L88" s="37" t="str">
        <x:v>基本画面ID=SCR-014／Frontend技術Route=React</x:v>
      </x:c>
      <x:c r="M88" s="39" t="n">
        <x:v>7</x:v>
      </x:c>
      <x:c r="N88" s="39" t="n">
        <x:v>14</x:v>
      </x:c>
      <x:c r="O88" s="39" t="n">
        <x:v>7</x:v>
      </x:c>
      <x:c r="P88" s="39" t="n">
        <x:v>28</x:v>
      </x:c>
    </x:row>
    <x:row r="89">
      <x:c r="A89" s="37" t="n">
        <x:v>83</x:v>
      </x:c>
      <x:c r="B89" s="37" t="str">
        <x:v>WP-083</x:v>
      </x:c>
      <x:c r="C89" s="37" t="str">
        <x:v>SCR-015-REACT</x:v>
      </x:c>
      <x:c r="D89" s="37" t="str">
        <x:v>SCR-015-REACT_タスク登録画面（React）詳細設計書.xlsx</x:v>
      </x:c>
      <x:c r="E89" s="37" t="str">
        <x:v>タスク登録画面（React）</x:v>
      </x:c>
      <x:c r="F89" s="37" t="str">
        <x:v>画面</x:v>
      </x:c>
      <x:c r="G89" s="37" t="str">
        <x:v>React</x:v>
      </x:c>
      <x:c r="H89" s="37" t="str">
        <x:v>タスク管理</x:v>
      </x:c>
      <x:c r="I89" s="37" t="str">
        <x:v>PG-04</x:v>
      </x:c>
      <x:c r="J89" s="37" t="str">
        <x:v>中</x:v>
      </x:c>
      <x:c r="K89" s="37" t="str">
        <x:v>07_タスク管理_画面基本設計書.xlsx</x:v>
      </x:c>
      <x:c r="L89" s="37" t="str">
        <x:v>基本画面ID=SCR-015／Frontend技術Route=React</x:v>
      </x:c>
      <x:c r="M89" s="39" t="n">
        <x:v>14</x:v>
      </x:c>
      <x:c r="N89" s="39" t="n">
        <x:v>21</x:v>
      </x:c>
      <x:c r="O89" s="39" t="n">
        <x:v>14</x:v>
      </x:c>
      <x:c r="P89" s="39" t="n">
        <x:v>49</x:v>
      </x:c>
    </x:row>
    <x:row r="90">
      <x:c r="A90" s="37" t="n">
        <x:v>84</x:v>
      </x:c>
      <x:c r="B90" s="37" t="str">
        <x:v>WP-084</x:v>
      </x:c>
      <x:c r="C90" s="37" t="str">
        <x:v>SCR-016-REACT</x:v>
      </x:c>
      <x:c r="D90" s="37" t="str">
        <x:v>SCR-016-REACT_タスク編集画面（React）詳細設計書.xlsx</x:v>
      </x:c>
      <x:c r="E90" s="37" t="str">
        <x:v>タスク編集画面（React）</x:v>
      </x:c>
      <x:c r="F90" s="37" t="str">
        <x:v>画面</x:v>
      </x:c>
      <x:c r="G90" s="37" t="str">
        <x:v>React</x:v>
      </x:c>
      <x:c r="H90" s="37" t="str">
        <x:v>タスク管理</x:v>
      </x:c>
      <x:c r="I90" s="37" t="str">
        <x:v>PG-04</x:v>
      </x:c>
      <x:c r="J90" s="37" t="str">
        <x:v>中</x:v>
      </x:c>
      <x:c r="K90" s="37" t="str">
        <x:v>07_タスク管理_画面基本設計書.xlsx</x:v>
      </x:c>
      <x:c r="L90" s="37" t="str">
        <x:v>基本画面ID=SCR-016／Frontend技術Route=React</x:v>
      </x:c>
      <x:c r="M90" s="39" t="n">
        <x:v>14</x:v>
      </x:c>
      <x:c r="N90" s="39" t="n">
        <x:v>21</x:v>
      </x:c>
      <x:c r="O90" s="39" t="n">
        <x:v>14</x:v>
      </x:c>
      <x:c r="P90" s="39" t="n">
        <x:v>49</x:v>
      </x:c>
    </x:row>
    <x:row r="91">
      <x:c r="A91" s="37" t="n">
        <x:v>85</x:v>
      </x:c>
      <x:c r="B91" s="37" t="str">
        <x:v>WP-085</x:v>
      </x:c>
      <x:c r="C91" s="37" t="str">
        <x:v>SCR-017-REACT</x:v>
      </x:c>
      <x:c r="D91" s="37" t="str">
        <x:v>SCR-017-REACT_タスク詳細画面（React）詳細設計書.xlsx</x:v>
      </x:c>
      <x:c r="E91" s="37" t="str">
        <x:v>タスク詳細画面（React）</x:v>
      </x:c>
      <x:c r="F91" s="37" t="str">
        <x:v>画面</x:v>
      </x:c>
      <x:c r="G91" s="37" t="str">
        <x:v>React</x:v>
      </x:c>
      <x:c r="H91" s="37" t="str">
        <x:v>タスク管理</x:v>
      </x:c>
      <x:c r="I91" s="37" t="str">
        <x:v>PG-04</x:v>
      </x:c>
      <x:c r="J91" s="37" t="str">
        <x:v>高</x:v>
      </x:c>
      <x:c r="K91" s="37" t="str">
        <x:v>07_タスク管理_画面基本設計書.xlsx</x:v>
      </x:c>
      <x:c r="L91" s="37" t="str">
        <x:v>基本画面ID=SCR-017／Frontend技術Route=React</x:v>
      </x:c>
      <x:c r="M91" s="39" t="n">
        <x:v>21</x:v>
      </x:c>
      <x:c r="N91" s="39" t="n">
        <x:v>28</x:v>
      </x:c>
      <x:c r="O91" s="39" t="n">
        <x:v>21</x:v>
      </x:c>
      <x:c r="P91" s="39" t="n">
        <x:v>70</x:v>
      </x:c>
    </x:row>
    <x:row r="92">
      <x:c r="A92" s="37" t="n">
        <x:v>86</x:v>
      </x:c>
      <x:c r="B92" s="37" t="str">
        <x:v>WP-086</x:v>
      </x:c>
      <x:c r="C92" s="37" t="str">
        <x:v>SCR-018-REACT</x:v>
      </x:c>
      <x:c r="D92" s="37" t="str">
        <x:v>SCR-018-REACT_タスクボード画面（React）詳細設計書.xlsx</x:v>
      </x:c>
      <x:c r="E92" s="37" t="str">
        <x:v>タスクボード画面（React）</x:v>
      </x:c>
      <x:c r="F92" s="37" t="str">
        <x:v>画面</x:v>
      </x:c>
      <x:c r="G92" s="37" t="str">
        <x:v>React</x:v>
      </x:c>
      <x:c r="H92" s="37" t="str">
        <x:v>タスク管理</x:v>
      </x:c>
      <x:c r="I92" s="37" t="str">
        <x:v>PG-04</x:v>
      </x:c>
      <x:c r="J92" s="37" t="str">
        <x:v>高</x:v>
      </x:c>
      <x:c r="K92" s="37" t="str">
        <x:v>07_タスク管理_画面基本設計書.xlsx</x:v>
      </x:c>
      <x:c r="L92" s="37" t="str">
        <x:v>基本画面ID=SCR-018／Frontend技術Route=React</x:v>
      </x:c>
      <x:c r="M92" s="39" t="n">
        <x:v>21</x:v>
      </x:c>
      <x:c r="N92" s="39" t="n">
        <x:v>28</x:v>
      </x:c>
      <x:c r="O92" s="39" t="n">
        <x:v>21</x:v>
      </x:c>
      <x:c r="P92" s="39" t="n">
        <x:v>70</x:v>
      </x:c>
    </x:row>
    <x:row r="93">
      <x:c r="A93" s="37" t="n">
        <x:v>87</x:v>
      </x:c>
      <x:c r="B93" s="37" t="str">
        <x:v>WP-087</x:v>
      </x:c>
      <x:c r="C93" s="37" t="str">
        <x:v>SCR-019-VUE</x:v>
      </x:c>
      <x:c r="D93" s="37" t="str">
        <x:v>SCR-019-VUE_マイ日報画面（Vue）詳細設計書.xlsx</x:v>
      </x:c>
      <x:c r="E93" s="37" t="str">
        <x:v>マイ日報画面（Vue）</x:v>
      </x:c>
      <x:c r="F93" s="37" t="str">
        <x:v>画面</x:v>
      </x:c>
      <x:c r="G93" s="37" t="str">
        <x:v>Vue</x:v>
      </x:c>
      <x:c r="H93" s="37" t="str">
        <x:v>日報管理</x:v>
      </x:c>
      <x:c r="I93" s="37" t="str">
        <x:v>PG-05</x:v>
      </x:c>
      <x:c r="J93" s="37" t="str">
        <x:v>低</x:v>
      </x:c>
      <x:c r="K93" s="37" t="str">
        <x:v>08_日報と通知_画面基本設計書.xlsx</x:v>
      </x:c>
      <x:c r="L93" s="37" t="str">
        <x:v>基本画面ID=SCR-019／Frontend技術Route=Vue</x:v>
      </x:c>
      <x:c r="M93" s="39" t="n">
        <x:v>7</x:v>
      </x:c>
      <x:c r="N93" s="39" t="n">
        <x:v>14</x:v>
      </x:c>
      <x:c r="O93" s="39" t="n">
        <x:v>7</x:v>
      </x:c>
      <x:c r="P93" s="39" t="n">
        <x:v>28</x:v>
      </x:c>
    </x:row>
    <x:row r="94">
      <x:c r="A94" s="37" t="n">
        <x:v>88</x:v>
      </x:c>
      <x:c r="B94" s="37" t="str">
        <x:v>WP-088</x:v>
      </x:c>
      <x:c r="C94" s="37" t="str">
        <x:v>SCR-020-VUE</x:v>
      </x:c>
      <x:c r="D94" s="37" t="str">
        <x:v>SCR-020-VUE_日報登録画面（Vue）詳細設計書.xlsx</x:v>
      </x:c>
      <x:c r="E94" s="37" t="str">
        <x:v>日報登録画面（Vue）</x:v>
      </x:c>
      <x:c r="F94" s="37" t="str">
        <x:v>画面</x:v>
      </x:c>
      <x:c r="G94" s="37" t="str">
        <x:v>Vue</x:v>
      </x:c>
      <x:c r="H94" s="37" t="str">
        <x:v>日報管理</x:v>
      </x:c>
      <x:c r="I94" s="37" t="str">
        <x:v>PG-05</x:v>
      </x:c>
      <x:c r="J94" s="37" t="str">
        <x:v>中</x:v>
      </x:c>
      <x:c r="K94" s="37" t="str">
        <x:v>08_日報と通知_画面基本設計書.xlsx</x:v>
      </x:c>
      <x:c r="L94" s="37" t="str">
        <x:v>基本画面ID=SCR-020／Frontend技術Route=Vue</x:v>
      </x:c>
      <x:c r="M94" s="39" t="n">
        <x:v>14</x:v>
      </x:c>
      <x:c r="N94" s="39" t="n">
        <x:v>21</x:v>
      </x:c>
      <x:c r="O94" s="39" t="n">
        <x:v>14</x:v>
      </x:c>
      <x:c r="P94" s="39" t="n">
        <x:v>49</x:v>
      </x:c>
    </x:row>
    <x:row r="95">
      <x:c r="A95" s="37" t="n">
        <x:v>89</x:v>
      </x:c>
      <x:c r="B95" s="37" t="str">
        <x:v>WP-089</x:v>
      </x:c>
      <x:c r="C95" s="37" t="str">
        <x:v>SCR-021-VUE</x:v>
      </x:c>
      <x:c r="D95" s="37" t="str">
        <x:v>SCR-021-VUE_日報検索画面（Vue）詳細設計書.xlsx</x:v>
      </x:c>
      <x:c r="E95" s="37" t="str">
        <x:v>日報検索画面（Vue）</x:v>
      </x:c>
      <x:c r="F95" s="37" t="str">
        <x:v>画面</x:v>
      </x:c>
      <x:c r="G95" s="37" t="str">
        <x:v>Vue</x:v>
      </x:c>
      <x:c r="H95" s="37" t="str">
        <x:v>日報管理</x:v>
      </x:c>
      <x:c r="I95" s="37" t="str">
        <x:v>PG-05</x:v>
      </x:c>
      <x:c r="J95" s="37" t="str">
        <x:v>低</x:v>
      </x:c>
      <x:c r="K95" s="37" t="str">
        <x:v>08_日報と通知_画面基本設計書.xlsx</x:v>
      </x:c>
      <x:c r="L95" s="37" t="str">
        <x:v>基本画面ID=SCR-021／Frontend技術Route=Vue</x:v>
      </x:c>
      <x:c r="M95" s="39" t="n">
        <x:v>7</x:v>
      </x:c>
      <x:c r="N95" s="39" t="n">
        <x:v>14</x:v>
      </x:c>
      <x:c r="O95" s="39" t="n">
        <x:v>7</x:v>
      </x:c>
      <x:c r="P95" s="39" t="n">
        <x:v>28</x:v>
      </x:c>
    </x:row>
    <x:row r="96">
      <x:c r="A96" s="37" t="n">
        <x:v>90</x:v>
      </x:c>
      <x:c r="B96" s="37" t="str">
        <x:v>WP-090</x:v>
      </x:c>
      <x:c r="C96" s="37" t="str">
        <x:v>SCR-022-VUE</x:v>
      </x:c>
      <x:c r="D96" s="37" t="str">
        <x:v>SCR-022-VUE_通知一覧画面（Vue）詳細設計書.xlsx</x:v>
      </x:c>
      <x:c r="E96" s="37" t="str">
        <x:v>通知一覧画面（Vue）</x:v>
      </x:c>
      <x:c r="F96" s="37" t="str">
        <x:v>画面</x:v>
      </x:c>
      <x:c r="G96" s="37" t="str">
        <x:v>Vue</x:v>
      </x:c>
      <x:c r="H96" s="37" t="str">
        <x:v>通知センター</x:v>
      </x:c>
      <x:c r="I96" s="37" t="str">
        <x:v>PG-05</x:v>
      </x:c>
      <x:c r="J96" s="37" t="str">
        <x:v>低</x:v>
      </x:c>
      <x:c r="K96" s="37" t="str">
        <x:v>08_日報と通知_画面基本設計書.xlsx</x:v>
      </x:c>
      <x:c r="L96" s="37" t="str">
        <x:v>基本画面ID=SCR-022／Frontend技術Route=Vue</x:v>
      </x:c>
      <x:c r="M96" s="39" t="n">
        <x:v>7</x:v>
      </x:c>
      <x:c r="N96" s="39" t="n">
        <x:v>14</x:v>
      </x:c>
      <x:c r="O96" s="39" t="n">
        <x:v>7</x:v>
      </x:c>
      <x:c r="P96" s="39" t="n">
        <x:v>28</x:v>
      </x:c>
    </x:row>
    <x:row r="97">
      <x:c r="A97" s="37" t="n">
        <x:v>91</x:v>
      </x:c>
      <x:c r="B97" s="37" t="str">
        <x:v>WP-091</x:v>
      </x:c>
      <x:c r="C97" s="37" t="str">
        <x:v>SCR-023-VUE</x:v>
      </x:c>
      <x:c r="D97" s="37" t="str">
        <x:v>SCR-023-VUE_ユーザー管理画面（Vue）詳細設計書.xlsx</x:v>
      </x:c>
      <x:c r="E97" s="37" t="str">
        <x:v>ユーザー管理画面（Vue）</x:v>
      </x:c>
      <x:c r="F97" s="37" t="str">
        <x:v>画面</x:v>
      </x:c>
      <x:c r="G97" s="37" t="str">
        <x:v>Vue</x:v>
      </x:c>
      <x:c r="H97" s="37" t="str">
        <x:v>システム管理</x:v>
      </x:c>
      <x:c r="I97" s="37" t="str">
        <x:v>PG-01</x:v>
      </x:c>
      <x:c r="J97" s="37" t="str">
        <x:v>高</x:v>
      </x:c>
      <x:c r="K97" s="37" t="str">
        <x:v>09_システム管理_画面基本設計書.xlsx</x:v>
      </x:c>
      <x:c r="L97" s="37" t="str">
        <x:v>基本画面ID=SCR-023／Frontend技術Route=Vue</x:v>
      </x:c>
      <x:c r="M97" s="39" t="n">
        <x:v>21</x:v>
      </x:c>
      <x:c r="N97" s="39" t="n">
        <x:v>28</x:v>
      </x:c>
      <x:c r="O97" s="39" t="n">
        <x:v>21</x:v>
      </x:c>
      <x:c r="P97" s="39" t="n">
        <x:v>70</x:v>
      </x:c>
    </x:row>
    <x:row r="98">
      <x:c r="A98" s="37" t="n">
        <x:v>92</x:v>
      </x:c>
      <x:c r="B98" s="37" t="str">
        <x:v>WP-092</x:v>
      </x:c>
      <x:c r="C98" s="37" t="str">
        <x:v>SCR-024-REACT</x:v>
      </x:c>
      <x:c r="D98" s="37" t="str">
        <x:v>SCR-024-REACT_ロール管理画面（React）詳細設計書.xlsx</x:v>
      </x:c>
      <x:c r="E98" s="37" t="str">
        <x:v>ロール管理画面（React）</x:v>
      </x:c>
      <x:c r="F98" s="37" t="str">
        <x:v>画面</x:v>
      </x:c>
      <x:c r="G98" s="37" t="str">
        <x:v>React</x:v>
      </x:c>
      <x:c r="H98" s="37" t="str">
        <x:v>システム管理</x:v>
      </x:c>
      <x:c r="I98" s="37" t="str">
        <x:v>PG-03</x:v>
      </x:c>
      <x:c r="J98" s="37" t="str">
        <x:v>高</x:v>
      </x:c>
      <x:c r="K98" s="37" t="str">
        <x:v>09_システム管理_画面基本設計書.xlsx</x:v>
      </x:c>
      <x:c r="L98" s="37" t="str">
        <x:v>基本画面ID=SCR-024／Frontend技術Route=React</x:v>
      </x:c>
      <x:c r="M98" s="39" t="n">
        <x:v>21</x:v>
      </x:c>
      <x:c r="N98" s="39" t="n">
        <x:v>28</x:v>
      </x:c>
      <x:c r="O98" s="39" t="n">
        <x:v>21</x:v>
      </x:c>
      <x:c r="P98" s="39" t="n">
        <x:v>70</x:v>
      </x:c>
    </x:row>
    <x:row r="99">
      <x:c r="A99" s="37" t="n">
        <x:v>93</x:v>
      </x:c>
      <x:c r="B99" s="37" t="str">
        <x:v>WP-093</x:v>
      </x:c>
      <x:c r="C99" s="37" t="str">
        <x:v>SCR-025-VUE</x:v>
      </x:c>
      <x:c r="D99" s="37" t="str">
        <x:v>SCR-025-VUE_操作ログ画面（Vue）詳細設計書.xlsx</x:v>
      </x:c>
      <x:c r="E99" s="37" t="str">
        <x:v>操作ログ画面（Vue）</x:v>
      </x:c>
      <x:c r="F99" s="37" t="str">
        <x:v>画面</x:v>
      </x:c>
      <x:c r="G99" s="37" t="str">
        <x:v>Vue</x:v>
      </x:c>
      <x:c r="H99" s="37" t="str">
        <x:v>システム管理</x:v>
      </x:c>
      <x:c r="I99" s="37" t="str">
        <x:v>PG-01</x:v>
      </x:c>
      <x:c r="J99" s="37" t="str">
        <x:v>低</x:v>
      </x:c>
      <x:c r="K99" s="37" t="str">
        <x:v>09_システム管理_画面基本設計書.xlsx</x:v>
      </x:c>
      <x:c r="L99" s="37" t="str">
        <x:v>基本画面ID=SCR-025／Frontend技術Route=Vue</x:v>
      </x:c>
      <x:c r="M99" s="39" t="n">
        <x:v>7</x:v>
      </x:c>
      <x:c r="N99" s="39" t="n">
        <x:v>14</x:v>
      </x:c>
      <x:c r="O99" s="39" t="n">
        <x:v>7</x:v>
      </x:c>
      <x:c r="P99" s="39" t="n">
        <x:v>28</x:v>
      </x:c>
    </x:row>
    <x:row r="100">
      <x:c r="A100" s="37" t="n">
        <x:v>94</x:v>
      </x:c>
      <x:c r="B100" s="37" t="str">
        <x:v>WP-094</x:v>
      </x:c>
      <x:c r="C100" s="37" t="str">
        <x:v>SCR-026-VUE</x:v>
      </x:c>
      <x:c r="D100" s="37" t="str">
        <x:v>SCR-026-VUE_パスワード変更画面（Vue）詳細設計書.xlsx</x:v>
      </x:c>
      <x:c r="E100" s="37" t="str">
        <x:v>パスワード変更画面（Vue）</x:v>
      </x:c>
      <x:c r="F100" s="37" t="str">
        <x:v>画面</x:v>
      </x:c>
      <x:c r="G100" s="37" t="str">
        <x:v>Vue</x:v>
      </x:c>
      <x:c r="H100" s="37" t="str">
        <x:v>ユーザー設定</x:v>
      </x:c>
      <x:c r="I100" s="37" t="str">
        <x:v>PG-01</x:v>
      </x:c>
      <x:c r="J100" s="37" t="str">
        <x:v>中</x:v>
      </x:c>
      <x:c r="K100" s="37" t="str">
        <x:v>04_認証とホーム_画面基本設計書.xlsx</x:v>
      </x:c>
      <x:c r="L100" s="37" t="str">
        <x:v>基本画面ID=SCR-026／Frontend技術Route=Vue</x:v>
      </x:c>
      <x:c r="M100" s="39" t="n">
        <x:v>14</x:v>
      </x:c>
      <x:c r="N100" s="39" t="n">
        <x:v>21</x:v>
      </x:c>
      <x:c r="O100" s="39" t="n">
        <x:v>14</x:v>
      </x:c>
      <x:c r="P100" s="39" t="n">
        <x:v>49</x:v>
      </x:c>
    </x:row>
    <x:row r="101">
      <x:c r="A101" s="37" t="n">
        <x:v>95</x:v>
      </x:c>
      <x:c r="B101" s="37" t="str">
        <x:v>WP-095</x:v>
      </x:c>
      <x:c r="C101" s="37" t="str">
        <x:v>BATCH-001</x:v>
      </x:c>
      <x:c r="D101" s="37" t="str">
        <x:v>BATCH-001_期限前Task通知詳細設計書.xlsx</x:v>
      </x:c>
      <x:c r="E101" s="37" t="str">
        <x:v>期限前Task通知</x:v>
      </x:c>
      <x:c r="F101" s="37" t="str">
        <x:v>Batch</x:v>
      </x:c>
      <x:c r="G101" s="37" t="str">
        <x:v>Spring Batch</x:v>
      </x:c>
      <x:c r="H101" s="37" t="str">
        <x:v>Batch/運用</x:v>
      </x:c>
      <x:c r="I101" s="37" t="str">
        <x:v>PG-05</x:v>
      </x:c>
      <x:c r="J101" s="37" t="str">
        <x:v>高</x:v>
      </x:c>
      <x:c r="K101" s="37" t="str">
        <x:v>22_バッチ非機能運用_基本設計書.xlsx</x:v>
      </x:c>
      <x:c r="L101" s="37" t="str">
        <x:v>毎日09:00 JST</x:v>
      </x:c>
      <x:c r="M101" s="39" t="n">
        <x:v>21</x:v>
      </x:c>
      <x:c r="N101" s="39" t="n">
        <x:v>28</x:v>
      </x:c>
      <x:c r="O101" s="39" t="n">
        <x:v>21</x:v>
      </x:c>
      <x:c r="P101" s="39" t="n">
        <x:v>70</x:v>
      </x:c>
    </x:row>
    <x:row r="102">
      <x:c r="A102" s="37" t="n">
        <x:v>96</x:v>
      </x:c>
      <x:c r="B102" s="37" t="str">
        <x:v>WP-096</x:v>
      </x:c>
      <x:c r="C102" s="37" t="str">
        <x:v>BATCH-002</x:v>
      </x:c>
      <x:c r="D102" s="37" t="str">
        <x:v>BATCH-002_遅延Task確認詳細設計書.xlsx</x:v>
      </x:c>
      <x:c r="E102" s="37" t="str">
        <x:v>遅延Task確認</x:v>
      </x:c>
      <x:c r="F102" s="37" t="str">
        <x:v>Batch</x:v>
      </x:c>
      <x:c r="G102" s="37" t="str">
        <x:v>Spring Batch</x:v>
      </x:c>
      <x:c r="H102" s="37" t="str">
        <x:v>Batch/運用</x:v>
      </x:c>
      <x:c r="I102" s="37" t="str">
        <x:v>PG-05</x:v>
      </x:c>
      <x:c r="J102" s="37" t="str">
        <x:v>高</x:v>
      </x:c>
      <x:c r="K102" s="37" t="str">
        <x:v>22_バッチ非機能運用_基本設計書.xlsx</x:v>
      </x:c>
      <x:c r="L102" s="37" t="str">
        <x:v>毎時00分 JST</x:v>
      </x:c>
      <x:c r="M102" s="39" t="n">
        <x:v>21</x:v>
      </x:c>
      <x:c r="N102" s="39" t="n">
        <x:v>28</x:v>
      </x:c>
      <x:c r="O102" s="39" t="n">
        <x:v>21</x:v>
      </x:c>
      <x:c r="P102" s="39" t="n">
        <x:v>70</x:v>
      </x:c>
    </x:row>
    <x:row r="103">
      <x:c r="A103" s="37" t="n">
        <x:v>97</x:v>
      </x:c>
      <x:c r="B103" s="37" t="str">
        <x:v>WP-097</x:v>
      </x:c>
      <x:c r="C103" s="37" t="str">
        <x:v>BATCH-003</x:v>
      </x:c>
      <x:c r="D103" s="37" t="str">
        <x:v>BATCH-003_日報未提出通知詳細設計書.xlsx</x:v>
      </x:c>
      <x:c r="E103" s="37" t="str">
        <x:v>日報未提出通知</x:v>
      </x:c>
      <x:c r="F103" s="37" t="str">
        <x:v>Batch</x:v>
      </x:c>
      <x:c r="G103" s="37" t="str">
        <x:v>Spring Batch</x:v>
      </x:c>
      <x:c r="H103" s="37" t="str">
        <x:v>Batch/運用</x:v>
      </x:c>
      <x:c r="I103" s="37" t="str">
        <x:v>PG-05</x:v>
      </x:c>
      <x:c r="J103" s="37" t="str">
        <x:v>高</x:v>
      </x:c>
      <x:c r="K103" s="37" t="str">
        <x:v>22_バッチ非機能運用_基本設計書.xlsx</x:v>
      </x:c>
      <x:c r="L103" s="37" t="str">
        <x:v>営業日17:00 JST</x:v>
      </x:c>
      <x:c r="M103" s="39" t="n">
        <x:v>21</x:v>
      </x:c>
      <x:c r="N103" s="39" t="n">
        <x:v>28</x:v>
      </x:c>
      <x:c r="O103" s="39" t="n">
        <x:v>21</x:v>
      </x:c>
      <x:c r="P103" s="39" t="n">
        <x:v>70</x:v>
      </x:c>
    </x:row>
    <x:row r="104">
      <x:c r="A104" s="37" t="n">
        <x:v>98</x:v>
      </x:c>
      <x:c r="B104" s="37" t="str">
        <x:v>WP-098</x:v>
      </x:c>
      <x:c r="C104" s="37" t="str">
        <x:v>BATCH-004</x:v>
      </x:c>
      <x:c r="D104" s="37" t="str">
        <x:v>BATCH-004_既読通知削除詳細設計書.xlsx</x:v>
      </x:c>
      <x:c r="E104" s="37" t="str">
        <x:v>既読通知削除</x:v>
      </x:c>
      <x:c r="F104" s="37" t="str">
        <x:v>Batch</x:v>
      </x:c>
      <x:c r="G104" s="37" t="str">
        <x:v>Spring Batch</x:v>
      </x:c>
      <x:c r="H104" s="37" t="str">
        <x:v>Batch/運用</x:v>
      </x:c>
      <x:c r="I104" s="37" t="str">
        <x:v>PG-05</x:v>
      </x:c>
      <x:c r="J104" s="37" t="str">
        <x:v>中</x:v>
      </x:c>
      <x:c r="K104" s="37" t="str">
        <x:v>22_バッチ非機能運用_基本設計書.xlsx</x:v>
      </x:c>
      <x:c r="L104" s="37" t="str">
        <x:v>毎月1日02:00 JST</x:v>
      </x:c>
      <x:c r="M104" s="39" t="n">
        <x:v>14</x:v>
      </x:c>
      <x:c r="N104" s="39" t="n">
        <x:v>21</x:v>
      </x:c>
      <x:c r="O104" s="39" t="n">
        <x:v>14</x:v>
      </x:c>
      <x:c r="P104" s="39" t="n">
        <x:v>49</x:v>
      </x:c>
    </x:row>
    <x:row r="105">
      <x:c r="A105" s="37" t="n">
        <x:v>99</x:v>
      </x:c>
      <x:c r="B105" s="37" t="str">
        <x:v>WP-099</x:v>
      </x:c>
      <x:c r="C105" s="37" t="str">
        <x:v>BATCH-005</x:v>
      </x:c>
      <x:c r="D105" s="37" t="str">
        <x:v>BATCH-005_監査Log削除詳細設計書.xlsx</x:v>
      </x:c>
      <x:c r="E105" s="37" t="str">
        <x:v>監査Log削除</x:v>
      </x:c>
      <x:c r="F105" s="37" t="str">
        <x:v>Batch</x:v>
      </x:c>
      <x:c r="G105" s="37" t="str">
        <x:v>Spring Batch</x:v>
      </x:c>
      <x:c r="H105" s="37" t="str">
        <x:v>Batch/運用</x:v>
      </x:c>
      <x:c r="I105" s="37" t="str">
        <x:v>PG-05</x:v>
      </x:c>
      <x:c r="J105" s="37" t="str">
        <x:v>中</x:v>
      </x:c>
      <x:c r="K105" s="37" t="str">
        <x:v>22_バッチ非機能運用_基本設計書.xlsx</x:v>
      </x:c>
      <x:c r="L105" s="37" t="str">
        <x:v>毎月1日03:00 JST</x:v>
      </x:c>
      <x:c r="M105" s="39" t="n">
        <x:v>14</x:v>
      </x:c>
      <x:c r="N105" s="39" t="n">
        <x:v>21</x:v>
      </x:c>
      <x:c r="O105" s="39" t="n">
        <x:v>14</x:v>
      </x:c>
      <x:c r="P105" s="39" t="n">
        <x:v>49</x:v>
      </x:c>
    </x:row>
    <x:row r="106">
      <x:c r="A106" s="37" t="n">
        <x:v>100</x:v>
      </x:c>
      <x:c r="B106" s="37" t="str">
        <x:v>WP-100</x:v>
      </x:c>
      <x:c r="C106" s="37" t="str">
        <x:v>BATCH-006</x:v>
      </x:c>
      <x:c r="D106" s="37" t="str">
        <x:v>BATCH-006_Refresh Token削除詳細設計書.xlsx</x:v>
      </x:c>
      <x:c r="E106" s="37" t="str">
        <x:v>Refresh Token削除</x:v>
      </x:c>
      <x:c r="F106" s="37" t="str">
        <x:v>Batch</x:v>
      </x:c>
      <x:c r="G106" s="37" t="str">
        <x:v>Spring Batch</x:v>
      </x:c>
      <x:c r="H106" s="37" t="str">
        <x:v>Batch/運用</x:v>
      </x:c>
      <x:c r="I106" s="37" t="str">
        <x:v>PG-05</x:v>
      </x:c>
      <x:c r="J106" s="37" t="str">
        <x:v>中</x:v>
      </x:c>
      <x:c r="K106" s="37" t="str">
        <x:v>22_バッチ非機能運用_基本設計書.xlsx</x:v>
      </x:c>
      <x:c r="L106" s="37" t="str">
        <x:v>毎日04:00 JST</x:v>
      </x:c>
      <x:c r="M106" s="39" t="n">
        <x:v>14</x:v>
      </x:c>
      <x:c r="N106" s="39" t="n">
        <x:v>21</x:v>
      </x:c>
      <x:c r="O106" s="39" t="n">
        <x:v>14</x:v>
      </x:c>
      <x:c r="P106" s="39" t="n">
        <x:v>49</x:v>
      </x:c>
    </x:row>
  </x:sheetData>
  <x:mergeCells>
    <x:mergeCell ref="A1:N2"/>
    <x:mergeCell ref="A3:N3"/>
  </x:mergeCells>
  <x:conditionalFormatting sqref="J7:J106">
    <x:cfRule type="containsText" dxfId="0" priority="1" operator="containsText" text="高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2" hidden="0" customWidth="1"/>
    <x:col min="4" max="4" width="32" hidden="0" customWidth="1"/>
    <x:col min="5" max="5" width="10" hidden="0" customWidth="1"/>
    <x:col min="6" max="6" width="14" hidden="0" customWidth="1"/>
    <x:col min="7" max="7" width="12" hidden="0" customWidth="1"/>
    <x:col min="8" max="8" width="10" hidden="0" customWidth="1"/>
    <x:col min="9" max="9" width="14" hidden="0" customWidth="1"/>
    <x:col min="10" max="10" width="18" hidden="0" customWidth="1"/>
    <x:col min="11" max="11" width="11" hidden="0" customWidth="1"/>
    <x:col min="12" max="12" width="10" hidden="0" customWidth="1"/>
    <x:col min="13" max="13" width="8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40" hidden="0" customWidth="1"/>
    <x:col min="22" max="22" width="24" hidden="0" customWidth="1"/>
  </x:cols>
  <x:sheetData>
    <x:row r="1">
      <x:c r="A1" s="24" t="str">
        <x:v>タスクスケジュール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>
        <x:v>詳細設計・Coding・単体テストを詳細設計書単位で管理（300 Task）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WBS ID</x:v>
      </x:c>
      <x:c r="B6" s="33" t="str">
        <x:v>WP ID</x:v>
      </x:c>
      <x:c r="C6" s="33" t="str">
        <x:v>詳細設計ID</x:v>
      </x:c>
      <x:c r="D6" s="33" t="str">
        <x:v>機能名</x:v>
      </x:c>
      <x:c r="E6" s="33" t="str">
        <x:v>分類</x:v>
      </x:c>
      <x:c r="F6" s="33" t="str">
        <x:v>技術</x:v>
      </x:c>
      <x:c r="G6" s="33" t="str">
        <x:v>工程</x:v>
      </x:c>
      <x:c r="H6" s="33" t="str">
        <x:v>担当</x:v>
      </x:c>
      <x:c r="I6" s="33" t="str">
        <x:v>Reviewer</x:v>
      </x:c>
      <x:c r="J6" s="33" t="str">
        <x:v>前提Task</x:v>
      </x:c>
      <x:c r="K6" s="33" t="str">
        <x:v>計画工数(h)</x:v>
      </x:c>
      <x:c r="L6" s="33" t="str">
        <x:v>Review(h)</x:v>
      </x:c>
      <x:c r="M6" s="33" t="str">
        <x:v>人日</x:v>
      </x:c>
      <x:c r="N6" s="33" t="str">
        <x:v>計画開始</x:v>
      </x:c>
      <x:c r="O6" s="33" t="str">
        <x:v>計画終了</x:v>
      </x:c>
      <x:c r="P6" s="33" t="str">
        <x:v>実績開始</x:v>
      </x:c>
      <x:c r="Q6" s="33" t="str">
        <x:v>実績終了</x:v>
      </x:c>
      <x:c r="R6" s="33" t="str">
        <x:v>状態</x:v>
      </x:c>
      <x:c r="S6" s="33" t="str">
        <x:v>進捗率</x:v>
      </x:c>
      <x:c r="T6" s="33" t="str">
        <x:v>遅延判定</x:v>
      </x:c>
      <x:c r="U6" s="33" t="str">
        <x:v>成果物</x:v>
      </x:c>
      <x:c r="V6" s="33" t="str">
        <x:v>備考</x:v>
      </x:c>
    </x:row>
    <x:row r="7">
      <x:c r="A7" s="37" t="str">
        <x:v>WP-001-DD</x:v>
      </x:c>
      <x:c r="B7" s="37" t="str">
        <x:v>WP-001</x:v>
      </x:c>
      <x:c r="C7" s="37" t="str">
        <x:v>COM-BE-001</x:v>
      </x:c>
      <x:c r="D7" s="37" t="str">
        <x:v>Backend共通基盤</x:v>
      </x:c>
      <x:c r="E7" s="37" t="str">
        <x:v>共通</x:v>
      </x:c>
      <x:c r="F7" s="37" t="str">
        <x:v>Backend/共通</x:v>
      </x:c>
      <x:c r="G7" s="37" t="str">
        <x:v>詳細設計</x:v>
      </x:c>
      <x:c r="H7" s="37" t="str">
        <x:v>PG-01</x:v>
      </x:c>
      <x:c r="I7" s="37" t="str">
        <x:v>Project Leader</x:v>
      </x:c>
      <x:c r="J7" s="37" t="str">
        <x:v>-</x:v>
      </x:c>
      <x:c r="K7" s="37" t="n">
        <x:v>21</x:v>
      </x:c>
      <x:c r="L7" s="37" t="n">
        <x:v>2</x:v>
      </x:c>
      <x:c r="M7" s="37" t="n">
        <x:v>3</x:v>
      </x:c>
      <x:c r="N7" s="38" t="n">
        <x:v>46247</x:v>
      </x:c>
      <x:c r="O7" s="38" t="n">
        <x:v>46251</x:v>
      </x:c>
      <x:c r="P7" s="38"/>
      <x:c r="Q7" s="38"/>
      <x:c r="R7" s="37" t="str">
        <x:v>未着手</x:v>
      </x:c>
      <x:c r="S7" s="40" t="n">
        <x:f>IF(R7="完了",1,IF(R7="修正中",0.8,IF(R7="Review待ち",0.7,IF(R7="作業中",0.3,0))))</x:f>
        <x:v>0</x:v>
      </x:c>
      <x:c r="T7" s="37" t="str">
        <x:f>IF(AND(R7&lt;&gt;"完了",TODAY()&gt;O7),"遅延","")</x:f>
      </x:c>
      <x:c r="U7" s="37" t="str">
        <x:v>COM-BE-001_Backend共通基盤詳細設計書.xlsx</x:v>
      </x:c>
      <x:c r="V7" s="37" t="str"/>
    </x:row>
    <x:row r="8">
      <x:c r="A8" s="37" t="str">
        <x:v>WP-002-DD</x:v>
      </x:c>
      <x:c r="B8" s="37" t="str">
        <x:v>WP-002</x:v>
      </x:c>
      <x:c r="C8" s="37" t="str">
        <x:v>COM-SEC-001</x:v>
      </x:c>
      <x:c r="D8" s="37" t="str">
        <x:v>認証・Security共通</x:v>
      </x:c>
      <x:c r="E8" s="37" t="str">
        <x:v>共通</x:v>
      </x:c>
      <x:c r="F8" s="37" t="str">
        <x:v>Backend/共通</x:v>
      </x:c>
      <x:c r="G8" s="37" t="str">
        <x:v>詳細設計</x:v>
      </x:c>
      <x:c r="H8" s="37" t="str">
        <x:v>PG-01</x:v>
      </x:c>
      <x:c r="I8" s="37" t="str">
        <x:v>Project Leader</x:v>
      </x:c>
      <x:c r="J8" s="37" t="str">
        <x:v>-</x:v>
      </x:c>
      <x:c r="K8" s="37" t="n">
        <x:v>21</x:v>
      </x:c>
      <x:c r="L8" s="37" t="n">
        <x:v>2</x:v>
      </x:c>
      <x:c r="M8" s="37" t="n">
        <x:v>3</x:v>
      </x:c>
      <x:c r="N8" s="38" t="n">
        <x:v>46252</x:v>
      </x:c>
      <x:c r="O8" s="38" t="n">
        <x:v>46254</x:v>
      </x:c>
      <x:c r="P8" s="38"/>
      <x:c r="Q8" s="38"/>
      <x:c r="R8" s="37" t="str">
        <x:v>未着手</x:v>
      </x:c>
      <x:c r="S8" s="40" t="n">
        <x:f>IF(R8="完了",1,IF(R8="修正中",0.8,IF(R8="Review待ち",0.7,IF(R8="作業中",0.3,0))))</x:f>
        <x:v>0</x:v>
      </x:c>
      <x:c r="T8" s="37" t="str">
        <x:f>IF(AND(R8&lt;&gt;"完了",TODAY()&gt;O8),"遅延","")</x:f>
      </x:c>
      <x:c r="U8" s="37" t="str">
        <x:v>COM-SEC-001_認証・Security共通詳細設計書.xlsx</x:v>
      </x:c>
      <x:c r="V8" s="37" t="str"/>
    </x:row>
    <x:row r="9">
      <x:c r="A9" s="37" t="str">
        <x:v>WP-007-DD</x:v>
      </x:c>
      <x:c r="B9" s="37" t="str">
        <x:v>WP-007</x:v>
      </x:c>
      <x:c r="C9" s="37" t="str">
        <x:v>API-AUTH-001</x:v>
      </x:c>
      <x:c r="D9" s="37" t="str">
        <x:v>ログイン</x:v>
      </x:c>
      <x:c r="E9" s="37" t="str">
        <x:v>API</x:v>
      </x:c>
      <x:c r="F9" s="37" t="str">
        <x:v>Spring Boot</x:v>
      </x:c>
      <x:c r="G9" s="37" t="str">
        <x:v>詳細設計</x:v>
      </x:c>
      <x:c r="H9" s="37" t="str">
        <x:v>PG-01</x:v>
      </x:c>
      <x:c r="I9" s="37" t="str">
        <x:v>Project Leader</x:v>
      </x:c>
      <x:c r="J9" s="37" t="str">
        <x:v>-</x:v>
      </x:c>
      <x:c r="K9" s="37" t="n">
        <x:v>14</x:v>
      </x:c>
      <x:c r="L9" s="37" t="n">
        <x:v>2</x:v>
      </x:c>
      <x:c r="M9" s="37" t="n">
        <x:v>2</x:v>
      </x:c>
      <x:c r="N9" s="38" t="n">
        <x:v>46255</x:v>
      </x:c>
      <x:c r="O9" s="38" t="n">
        <x:v>46258</x:v>
      </x:c>
      <x:c r="P9" s="38"/>
      <x:c r="Q9" s="38"/>
      <x:c r="R9" s="37" t="str">
        <x:v>未着手</x:v>
      </x:c>
      <x:c r="S9" s="40" t="n">
        <x:f>IF(R9="完了",1,IF(R9="修正中",0.8,IF(R9="Review待ち",0.7,IF(R9="作業中",0.3,0))))</x:f>
        <x:v>0</x:v>
      </x:c>
      <x:c r="T9" s="37" t="str">
        <x:f>IF(AND(R9&lt;&gt;"完了",TODAY()&gt;O9),"遅延","")</x:f>
      </x:c>
      <x:c r="U9" s="37" t="str">
        <x:v>API-AUTH-001_ログイン詳細設計書.xlsx</x:v>
      </x:c>
      <x:c r="V9" s="37" t="str"/>
    </x:row>
    <x:row r="10">
      <x:c r="A10" s="37" t="str">
        <x:v>WP-008-DD</x:v>
      </x:c>
      <x:c r="B10" s="37" t="str">
        <x:v>WP-008</x:v>
      </x:c>
      <x:c r="C10" s="37" t="str">
        <x:v>API-AUTH-002</x:v>
      </x:c>
      <x:c r="D10" s="37" t="str">
        <x:v>ログアウト</x:v>
      </x:c>
      <x:c r="E10" s="37" t="str">
        <x:v>API</x:v>
      </x:c>
      <x:c r="F10" s="37" t="str">
        <x:v>Spring Boot</x:v>
      </x:c>
      <x:c r="G10" s="37" t="str">
        <x:v>詳細設計</x:v>
      </x:c>
      <x:c r="H10" s="37" t="str">
        <x:v>PG-01</x:v>
      </x:c>
      <x:c r="I10" s="37" t="str">
        <x:v>Project Leader</x:v>
      </x:c>
      <x:c r="J10" s="37" t="str">
        <x:v>-</x:v>
      </x:c>
      <x:c r="K10" s="37" t="n">
        <x:v>14</x:v>
      </x:c>
      <x:c r="L10" s="37" t="n">
        <x:v>2</x:v>
      </x:c>
      <x:c r="M10" s="37" t="n">
        <x:v>2</x:v>
      </x:c>
      <x:c r="N10" s="38" t="n">
        <x:v>46259</x:v>
      </x:c>
      <x:c r="O10" s="38" t="n">
        <x:v>46260</x:v>
      </x:c>
      <x:c r="P10" s="38"/>
      <x:c r="Q10" s="38"/>
      <x:c r="R10" s="37" t="str">
        <x:v>未着手</x:v>
      </x:c>
      <x:c r="S10" s="40" t="n">
        <x:f>IF(R10="完了",1,IF(R10="修正中",0.8,IF(R10="Review待ち",0.7,IF(R10="作業中",0.3,0))))</x:f>
        <x:v>0</x:v>
      </x:c>
      <x:c r="T10" s="37" t="str">
        <x:f>IF(AND(R10&lt;&gt;"完了",TODAY()&gt;O10),"遅延","")</x:f>
      </x:c>
      <x:c r="U10" s="37" t="str">
        <x:v>API-AUTH-002_ログアウト詳細設計書.xlsx</x:v>
      </x:c>
      <x:c r="V10" s="37" t="str"/>
    </x:row>
    <x:row r="11">
      <x:c r="A11" s="37" t="str">
        <x:v>WP-009-DD</x:v>
      </x:c>
      <x:c r="B11" s="37" t="str">
        <x:v>WP-009</x:v>
      </x:c>
      <x:c r="C11" s="37" t="str">
        <x:v>API-AUTH-003</x:v>
      </x:c>
      <x:c r="D11" s="37" t="str">
        <x:v>Token更新</x:v>
      </x:c>
      <x:c r="E11" s="37" t="str">
        <x:v>API</x:v>
      </x:c>
      <x:c r="F11" s="37" t="str">
        <x:v>Spring Boot</x:v>
      </x:c>
      <x:c r="G11" s="37" t="str">
        <x:v>詳細設計</x:v>
      </x:c>
      <x:c r="H11" s="37" t="str">
        <x:v>PG-01</x:v>
      </x:c>
      <x:c r="I11" s="37" t="str">
        <x:v>Project Leader</x:v>
      </x:c>
      <x:c r="J11" s="37" t="str">
        <x:v>-</x:v>
      </x:c>
      <x:c r="K11" s="37" t="n">
        <x:v>21</x:v>
      </x:c>
      <x:c r="L11" s="37" t="n">
        <x:v>2</x:v>
      </x:c>
      <x:c r="M11" s="37" t="n">
        <x:v>3</x:v>
      </x:c>
      <x:c r="N11" s="38" t="n">
        <x:v>46261</x:v>
      </x:c>
      <x:c r="O11" s="38" t="n">
        <x:v>46265</x:v>
      </x:c>
      <x:c r="P11" s="38"/>
      <x:c r="Q11" s="38"/>
      <x:c r="R11" s="37" t="str">
        <x:v>未着手</x:v>
      </x:c>
      <x:c r="S11" s="40" t="n">
        <x:f>IF(R11="完了",1,IF(R11="修正中",0.8,IF(R11="Review待ち",0.7,IF(R11="作業中",0.3,0))))</x:f>
        <x:v>0</x:v>
      </x:c>
      <x:c r="T11" s="37" t="str">
        <x:f>IF(AND(R11&lt;&gt;"完了",TODAY()&gt;O11),"遅延","")</x:f>
      </x:c>
      <x:c r="U11" s="37" t="str">
        <x:v>API-AUTH-003_Token更新詳細設計書.xlsx</x:v>
      </x:c>
      <x:c r="V11" s="37" t="str"/>
    </x:row>
    <x:row r="12">
      <x:c r="A12" s="37" t="str">
        <x:v>WP-010-DD</x:v>
      </x:c>
      <x:c r="B12" s="37" t="str">
        <x:v>WP-010</x:v>
      </x:c>
      <x:c r="C12" s="37" t="str">
        <x:v>API-AUTH-004</x:v>
      </x:c>
      <x:c r="D12" s="37" t="str">
        <x:v>現在ユーザー取得</x:v>
      </x:c>
      <x:c r="E12" s="37" t="str">
        <x:v>API</x:v>
      </x:c>
      <x:c r="F12" s="37" t="str">
        <x:v>Spring Boot</x:v>
      </x:c>
      <x:c r="G12" s="37" t="str">
        <x:v>詳細設計</x:v>
      </x:c>
      <x:c r="H12" s="37" t="str">
        <x:v>PG-01</x:v>
      </x:c>
      <x:c r="I12" s="37" t="str">
        <x:v>Project Leader</x:v>
      </x:c>
      <x:c r="J12" s="37" t="str">
        <x:v>-</x:v>
      </x:c>
      <x:c r="K12" s="37" t="n">
        <x:v>7</x:v>
      </x:c>
      <x:c r="L12" s="37" t="n">
        <x:v>2</x:v>
      </x:c>
      <x:c r="M12" s="37" t="n">
        <x:v>1</x:v>
      </x:c>
      <x:c r="N12" s="38" t="n">
        <x:v>46266</x:v>
      </x:c>
      <x:c r="O12" s="38" t="n">
        <x:v>46266</x:v>
      </x:c>
      <x:c r="P12" s="38"/>
      <x:c r="Q12" s="38"/>
      <x:c r="R12" s="37" t="str">
        <x:v>未着手</x:v>
      </x:c>
      <x:c r="S12" s="40" t="n">
        <x:f>IF(R12="完了",1,IF(R12="修正中",0.8,IF(R12="Review待ち",0.7,IF(R12="作業中",0.3,0))))</x:f>
        <x:v>0</x:v>
      </x:c>
      <x:c r="T12" s="37" t="str">
        <x:f>IF(AND(R12&lt;&gt;"完了",TODAY()&gt;O12),"遅延","")</x:f>
      </x:c>
      <x:c r="U12" s="37" t="str">
        <x:v>API-AUTH-004_現在ユーザー取得詳細設計書.xlsx</x:v>
      </x:c>
      <x:c r="V12" s="37" t="str"/>
    </x:row>
    <x:row r="13">
      <x:c r="A13" s="37" t="str">
        <x:v>WP-011-DD</x:v>
      </x:c>
      <x:c r="B13" s="37" t="str">
        <x:v>WP-011</x:v>
      </x:c>
      <x:c r="C13" s="37" t="str">
        <x:v>API-AUTH-005</x:v>
      </x:c>
      <x:c r="D13" s="37" t="str">
        <x:v>パスワード変更</x:v>
      </x:c>
      <x:c r="E13" s="37" t="str">
        <x:v>API</x:v>
      </x:c>
      <x:c r="F13" s="37" t="str">
        <x:v>Spring Boot</x:v>
      </x:c>
      <x:c r="G13" s="37" t="str">
        <x:v>詳細設計</x:v>
      </x:c>
      <x:c r="H13" s="37" t="str">
        <x:v>PG-01</x:v>
      </x:c>
      <x:c r="I13" s="37" t="str">
        <x:v>Project Leader</x:v>
      </x:c>
      <x:c r="J13" s="37" t="str">
        <x:v>-</x:v>
      </x:c>
      <x:c r="K13" s="37" t="n">
        <x:v>14</x:v>
      </x:c>
      <x:c r="L13" s="37" t="n">
        <x:v>2</x:v>
      </x:c>
      <x:c r="M13" s="37" t="n">
        <x:v>2</x:v>
      </x:c>
      <x:c r="N13" s="38" t="n">
        <x:v>46267</x:v>
      </x:c>
      <x:c r="O13" s="38" t="n">
        <x:v>46268</x:v>
      </x:c>
      <x:c r="P13" s="38"/>
      <x:c r="Q13" s="38"/>
      <x:c r="R13" s="37" t="str">
        <x:v>未着手</x:v>
      </x:c>
      <x:c r="S13" s="40" t="n">
        <x:f>IF(R13="完了",1,IF(R13="修正中",0.8,IF(R13="Review待ち",0.7,IF(R13="作業中",0.3,0))))</x:f>
        <x:v>0</x:v>
      </x:c>
      <x:c r="T13" s="37" t="str">
        <x:f>IF(AND(R13&lt;&gt;"完了",TODAY()&gt;O13),"遅延","")</x:f>
      </x:c>
      <x:c r="U13" s="37" t="str">
        <x:v>API-AUTH-005_パスワード変更詳細設計書.xlsx</x:v>
      </x:c>
      <x:c r="V13" s="37" t="str"/>
    </x:row>
    <x:row r="14">
      <x:c r="A14" s="37" t="str">
        <x:v>WP-012-DD</x:v>
      </x:c>
      <x:c r="B14" s="37" t="str">
        <x:v>WP-012</x:v>
      </x:c>
      <x:c r="C14" s="37" t="str">
        <x:v>API-DASH-001</x:v>
      </x:c>
      <x:c r="D14" s="37" t="str">
        <x:v>ホーム集計取得</x:v>
      </x:c>
      <x:c r="E14" s="37" t="str">
        <x:v>API</x:v>
      </x:c>
      <x:c r="F14" s="37" t="str">
        <x:v>Spring Boot</x:v>
      </x:c>
      <x:c r="G14" s="37" t="str">
        <x:v>詳細設計</x:v>
      </x:c>
      <x:c r="H14" s="37" t="str">
        <x:v>PG-01</x:v>
      </x:c>
      <x:c r="I14" s="37" t="str">
        <x:v>Project Leader</x:v>
      </x:c>
      <x:c r="J14" s="37" t="str">
        <x:v>-</x:v>
      </x:c>
      <x:c r="K14" s="37" t="n">
        <x:v>7</x:v>
      </x:c>
      <x:c r="L14" s="37" t="n">
        <x:v>2</x:v>
      </x:c>
      <x:c r="M14" s="37" t="n">
        <x:v>1</x:v>
      </x:c>
      <x:c r="N14" s="38" t="n">
        <x:v>46269</x:v>
      </x:c>
      <x:c r="O14" s="38" t="n">
        <x:v>46269</x:v>
      </x:c>
      <x:c r="P14" s="38"/>
      <x:c r="Q14" s="38"/>
      <x:c r="R14" s="37" t="str">
        <x:v>未着手</x:v>
      </x:c>
      <x:c r="S14" s="40" t="n">
        <x:f>IF(R14="完了",1,IF(R14="修正中",0.8,IF(R14="Review待ち",0.7,IF(R14="作業中",0.3,0))))</x:f>
        <x:v>0</x:v>
      </x:c>
      <x:c r="T14" s="37" t="str">
        <x:f>IF(AND(R14&lt;&gt;"完了",TODAY()&gt;O14),"遅延","")</x:f>
      </x:c>
      <x:c r="U14" s="37" t="str">
        <x:v>API-DASH-001_ホーム集計取得詳細設計書.xlsx</x:v>
      </x:c>
      <x:c r="V14" s="37" t="str"/>
    </x:row>
    <x:row r="15">
      <x:c r="A15" s="37" t="str">
        <x:v>WP-013-DD</x:v>
      </x:c>
      <x:c r="B15" s="37" t="str">
        <x:v>WP-013</x:v>
      </x:c>
      <x:c r="C15" s="37" t="str">
        <x:v>API-MST-001</x:v>
      </x:c>
      <x:c r="D15" s="37" t="str">
        <x:v>部門選択肢</x:v>
      </x:c>
      <x:c r="E15" s="37" t="str">
        <x:v>API</x:v>
      </x:c>
      <x:c r="F15" s="37" t="str">
        <x:v>Spring Boot</x:v>
      </x:c>
      <x:c r="G15" s="37" t="str">
        <x:v>詳細設計</x:v>
      </x:c>
      <x:c r="H15" s="37" t="str">
        <x:v>PG-01</x:v>
      </x:c>
      <x:c r="I15" s="37" t="str">
        <x:v>Project Leader</x:v>
      </x:c>
      <x:c r="J15" s="37" t="str">
        <x:v>-</x:v>
      </x:c>
      <x:c r="K15" s="37" t="n">
        <x:v>7</x:v>
      </x:c>
      <x:c r="L15" s="37" t="n">
        <x:v>2</x:v>
      </x:c>
      <x:c r="M15" s="37" t="n">
        <x:v>1</x:v>
      </x:c>
      <x:c r="N15" s="38" t="n">
        <x:v>46272</x:v>
      </x:c>
      <x:c r="O15" s="38" t="n">
        <x:v>46272</x:v>
      </x:c>
      <x:c r="P15" s="38"/>
      <x:c r="Q15" s="38"/>
      <x:c r="R15" s="37" t="str">
        <x:v>未着手</x:v>
      </x:c>
      <x:c r="S15" s="40" t="n">
        <x:f>IF(R15="完了",1,IF(R15="修正中",0.8,IF(R15="Review待ち",0.7,IF(R15="作業中",0.3,0))))</x:f>
        <x:v>0</x:v>
      </x:c>
      <x:c r="T15" s="37" t="str">
        <x:f>IF(AND(R15&lt;&gt;"完了",TODAY()&gt;O15),"遅延","")</x:f>
      </x:c>
      <x:c r="U15" s="37" t="str">
        <x:v>API-MST-001_部門選択肢詳細設計書.xlsx</x:v>
      </x:c>
      <x:c r="V15" s="37" t="str"/>
    </x:row>
    <x:row r="16">
      <x:c r="A16" s="37" t="str">
        <x:v>WP-014-DD</x:v>
      </x:c>
      <x:c r="B16" s="37" t="str">
        <x:v>WP-014</x:v>
      </x:c>
      <x:c r="C16" s="37" t="str">
        <x:v>API-MST-002</x:v>
      </x:c>
      <x:c r="D16" s="37" t="str">
        <x:v>社員選択肢</x:v>
      </x:c>
      <x:c r="E16" s="37" t="str">
        <x:v>API</x:v>
      </x:c>
      <x:c r="F16" s="37" t="str">
        <x:v>Spring Boot</x:v>
      </x:c>
      <x:c r="G16" s="37" t="str">
        <x:v>詳細設計</x:v>
      </x:c>
      <x:c r="H16" s="37" t="str">
        <x:v>PG-01</x:v>
      </x:c>
      <x:c r="I16" s="37" t="str">
        <x:v>Project Leader</x:v>
      </x:c>
      <x:c r="J16" s="37" t="str">
        <x:v>-</x:v>
      </x:c>
      <x:c r="K16" s="37" t="n">
        <x:v>7</x:v>
      </x:c>
      <x:c r="L16" s="37" t="n">
        <x:v>2</x:v>
      </x:c>
      <x:c r="M16" s="37" t="n">
        <x:v>1</x:v>
      </x:c>
      <x:c r="N16" s="38" t="n">
        <x:v>46273</x:v>
      </x:c>
      <x:c r="O16" s="38" t="n">
        <x:v>46273</x:v>
      </x:c>
      <x:c r="P16" s="38"/>
      <x:c r="Q16" s="38"/>
      <x:c r="R16" s="37" t="str">
        <x:v>未着手</x:v>
      </x:c>
      <x:c r="S16" s="40" t="n">
        <x:f>IF(R16="完了",1,IF(R16="修正中",0.8,IF(R16="Review待ち",0.7,IF(R16="作業中",0.3,0))))</x:f>
        <x:v>0</x:v>
      </x:c>
      <x:c r="T16" s="37" t="str">
        <x:f>IF(AND(R16&lt;&gt;"完了",TODAY()&gt;O16),"遅延","")</x:f>
      </x:c>
      <x:c r="U16" s="37" t="str">
        <x:v>API-MST-002_社員選択肢詳細設計書.xlsx</x:v>
      </x:c>
      <x:c r="V16" s="37" t="str"/>
    </x:row>
    <x:row r="17">
      <x:c r="A17" s="37" t="str">
        <x:v>WP-015-DD</x:v>
      </x:c>
      <x:c r="B17" s="37" t="str">
        <x:v>WP-015</x:v>
      </x:c>
      <x:c r="C17" s="37" t="str">
        <x:v>API-MST-003</x:v>
      </x:c>
      <x:c r="D17" s="37" t="str">
        <x:v>PJ選択肢</x:v>
      </x:c>
      <x:c r="E17" s="37" t="str">
        <x:v>API</x:v>
      </x:c>
      <x:c r="F17" s="37" t="str">
        <x:v>Spring Boot</x:v>
      </x:c>
      <x:c r="G17" s="37" t="str">
        <x:v>詳細設計</x:v>
      </x:c>
      <x:c r="H17" s="37" t="str">
        <x:v>PG-01</x:v>
      </x:c>
      <x:c r="I17" s="37" t="str">
        <x:v>Project Leader</x:v>
      </x:c>
      <x:c r="J17" s="37" t="str">
        <x:v>-</x:v>
      </x:c>
      <x:c r="K17" s="37" t="n">
        <x:v>7</x:v>
      </x:c>
      <x:c r="L17" s="37" t="n">
        <x:v>2</x:v>
      </x:c>
      <x:c r="M17" s="37" t="n">
        <x:v>1</x:v>
      </x:c>
      <x:c r="N17" s="38" t="n">
        <x:v>46274</x:v>
      </x:c>
      <x:c r="O17" s="38" t="n">
        <x:v>46274</x:v>
      </x:c>
      <x:c r="P17" s="38"/>
      <x:c r="Q17" s="38"/>
      <x:c r="R17" s="37" t="str">
        <x:v>未着手</x:v>
      </x:c>
      <x:c r="S17" s="40" t="n">
        <x:f>IF(R17="完了",1,IF(R17="修正中",0.8,IF(R17="Review待ち",0.7,IF(R17="作業中",0.3,0))))</x:f>
        <x:v>0</x:v>
      </x:c>
      <x:c r="T17" s="37" t="str">
        <x:f>IF(AND(R17&lt;&gt;"完了",TODAY()&gt;O17),"遅延","")</x:f>
      </x:c>
      <x:c r="U17" s="37" t="str">
        <x:v>API-MST-003_PJ選択肢詳細設計書.xlsx</x:v>
      </x:c>
      <x:c r="V17" s="37" t="str"/>
    </x:row>
    <x:row r="18">
      <x:c r="A18" s="37" t="str">
        <x:v>WP-016-DD</x:v>
      </x:c>
      <x:c r="B18" s="37" t="str">
        <x:v>WP-016</x:v>
      </x:c>
      <x:c r="C18" s="37" t="str">
        <x:v>API-MST-004</x:v>
      </x:c>
      <x:c r="D18" s="37" t="str">
        <x:v>Role/権限選択肢</x:v>
      </x:c>
      <x:c r="E18" s="37" t="str">
        <x:v>API</x:v>
      </x:c>
      <x:c r="F18" s="37" t="str">
        <x:v>Spring Boot</x:v>
      </x:c>
      <x:c r="G18" s="37" t="str">
        <x:v>詳細設計</x:v>
      </x:c>
      <x:c r="H18" s="37" t="str">
        <x:v>PG-01</x:v>
      </x:c>
      <x:c r="I18" s="37" t="str">
        <x:v>Project Leader</x:v>
      </x:c>
      <x:c r="J18" s="37" t="str">
        <x:v>-</x:v>
      </x:c>
      <x:c r="K18" s="37" t="n">
        <x:v>21</x:v>
      </x:c>
      <x:c r="L18" s="37" t="n">
        <x:v>2</x:v>
      </x:c>
      <x:c r="M18" s="37" t="n">
        <x:v>3</x:v>
      </x:c>
      <x:c r="N18" s="38" t="n">
        <x:v>46275</x:v>
      </x:c>
      <x:c r="O18" s="38" t="n">
        <x:v>46279</x:v>
      </x:c>
      <x:c r="P18" s="38"/>
      <x:c r="Q18" s="38"/>
      <x:c r="R18" s="37" t="str">
        <x:v>未着手</x:v>
      </x:c>
      <x:c r="S18" s="40" t="n">
        <x:f>IF(R18="完了",1,IF(R18="修正中",0.8,IF(R18="Review待ち",0.7,IF(R18="作業中",0.3,0))))</x:f>
        <x:v>0</x:v>
      </x:c>
      <x:c r="T18" s="37" t="str">
        <x:f>IF(AND(R18&lt;&gt;"完了",TODAY()&gt;O18),"遅延","")</x:f>
      </x:c>
      <x:c r="U18" s="37" t="str">
        <x:v>API-MST-004_Role/権限選択肢詳細設計書.xlsx</x:v>
      </x:c>
      <x:c r="V18" s="37" t="str"/>
    </x:row>
    <x:row r="19">
      <x:c r="A19" s="37" t="str">
        <x:v>WP-017-DD</x:v>
      </x:c>
      <x:c r="B19" s="37" t="str">
        <x:v>WP-017</x:v>
      </x:c>
      <x:c r="C19" s="37" t="str">
        <x:v>API-USR-001</x:v>
      </x:c>
      <x:c r="D19" s="37" t="str">
        <x:v>ユーザー検索</x:v>
      </x:c>
      <x:c r="E19" s="37" t="str">
        <x:v>API</x:v>
      </x:c>
      <x:c r="F19" s="37" t="str">
        <x:v>Spring Boot</x:v>
      </x:c>
      <x:c r="G19" s="37" t="str">
        <x:v>詳細設計</x:v>
      </x:c>
      <x:c r="H19" s="37" t="str">
        <x:v>PG-01</x:v>
      </x:c>
      <x:c r="I19" s="37" t="str">
        <x:v>Project Leader</x:v>
      </x:c>
      <x:c r="J19" s="37" t="str">
        <x:v>-</x:v>
      </x:c>
      <x:c r="K19" s="37" t="n">
        <x:v>7</x:v>
      </x:c>
      <x:c r="L19" s="37" t="n">
        <x:v>2</x:v>
      </x:c>
      <x:c r="M19" s="37" t="n">
        <x:v>1</x:v>
      </x:c>
      <x:c r="N19" s="38" t="n">
        <x:v>46280</x:v>
      </x:c>
      <x:c r="O19" s="38" t="n">
        <x:v>46280</x:v>
      </x:c>
      <x:c r="P19" s="38"/>
      <x:c r="Q19" s="38"/>
      <x:c r="R19" s="37" t="str">
        <x:v>未着手</x:v>
      </x:c>
      <x:c r="S19" s="40" t="n">
        <x:f>IF(R19="完了",1,IF(R19="修正中",0.8,IF(R19="Review待ち",0.7,IF(R19="作業中",0.3,0))))</x:f>
        <x:v>0</x:v>
      </x:c>
      <x:c r="T19" s="37" t="str">
        <x:f>IF(AND(R19&lt;&gt;"完了",TODAY()&gt;O19),"遅延","")</x:f>
      </x:c>
      <x:c r="U19" s="37" t="str">
        <x:v>API-USR-001_ユーザー検索詳細設計書.xlsx</x:v>
      </x:c>
      <x:c r="V19" s="37" t="str"/>
    </x:row>
    <x:row r="20">
      <x:c r="A20" s="37" t="str">
        <x:v>WP-018-DD</x:v>
      </x:c>
      <x:c r="B20" s="37" t="str">
        <x:v>WP-018</x:v>
      </x:c>
      <x:c r="C20" s="37" t="str">
        <x:v>API-USR-002</x:v>
      </x:c>
      <x:c r="D20" s="37" t="str">
        <x:v>ユーザー詳細</x:v>
      </x:c>
      <x:c r="E20" s="37" t="str">
        <x:v>API</x:v>
      </x:c>
      <x:c r="F20" s="37" t="str">
        <x:v>Spring Boot</x:v>
      </x:c>
      <x:c r="G20" s="37" t="str">
        <x:v>詳細設計</x:v>
      </x:c>
      <x:c r="H20" s="37" t="str">
        <x:v>PG-01</x:v>
      </x:c>
      <x:c r="I20" s="37" t="str">
        <x:v>Project Leader</x:v>
      </x:c>
      <x:c r="J20" s="37" t="str">
        <x:v>-</x:v>
      </x:c>
      <x:c r="K20" s="37" t="n">
        <x:v>7</x:v>
      </x:c>
      <x:c r="L20" s="37" t="n">
        <x:v>2</x:v>
      </x:c>
      <x:c r="M20" s="37" t="n">
        <x:v>1</x:v>
      </x:c>
      <x:c r="N20" s="38" t="n">
        <x:v>46281</x:v>
      </x:c>
      <x:c r="O20" s="38" t="n">
        <x:v>46281</x:v>
      </x:c>
      <x:c r="P20" s="38"/>
      <x:c r="Q20" s="38"/>
      <x:c r="R20" s="37" t="str">
        <x:v>未着手</x:v>
      </x:c>
      <x:c r="S20" s="40" t="n">
        <x:f>IF(R20="完了",1,IF(R20="修正中",0.8,IF(R20="Review待ち",0.7,IF(R20="作業中",0.3,0))))</x:f>
        <x:v>0</x:v>
      </x:c>
      <x:c r="T20" s="37" t="str">
        <x:f>IF(AND(R20&lt;&gt;"完了",TODAY()&gt;O20),"遅延","")</x:f>
      </x:c>
      <x:c r="U20" s="37" t="str">
        <x:v>API-USR-002_ユーザー詳細詳細設計書.xlsx</x:v>
      </x:c>
      <x:c r="V20" s="37" t="str"/>
    </x:row>
    <x:row r="21">
      <x:c r="A21" s="37" t="str">
        <x:v>WP-019-DD</x:v>
      </x:c>
      <x:c r="B21" s="37" t="str">
        <x:v>WP-019</x:v>
      </x:c>
      <x:c r="C21" s="37" t="str">
        <x:v>API-USR-003</x:v>
      </x:c>
      <x:c r="D21" s="37" t="str">
        <x:v>ユーザー状態・Role更新</x:v>
      </x:c>
      <x:c r="E21" s="37" t="str">
        <x:v>API</x:v>
      </x:c>
      <x:c r="F21" s="37" t="str">
        <x:v>Spring Boot</x:v>
      </x:c>
      <x:c r="G21" s="37" t="str">
        <x:v>詳細設計</x:v>
      </x:c>
      <x:c r="H21" s="37" t="str">
        <x:v>PG-01</x:v>
      </x:c>
      <x:c r="I21" s="37" t="str">
        <x:v>Project Leader</x:v>
      </x:c>
      <x:c r="J21" s="37" t="str">
        <x:v>-</x:v>
      </x:c>
      <x:c r="K21" s="37" t="n">
        <x:v>14</x:v>
      </x:c>
      <x:c r="L21" s="37" t="n">
        <x:v>2</x:v>
      </x:c>
      <x:c r="M21" s="37" t="n">
        <x:v>2</x:v>
      </x:c>
      <x:c r="N21" s="38" t="n">
        <x:v>46282</x:v>
      </x:c>
      <x:c r="O21" s="38" t="n">
        <x:v>46283</x:v>
      </x:c>
      <x:c r="P21" s="38"/>
      <x:c r="Q21" s="38"/>
      <x:c r="R21" s="37" t="str">
        <x:v>未着手</x:v>
      </x:c>
      <x:c r="S21" s="40" t="n">
        <x:f>IF(R21="完了",1,IF(R21="修正中",0.8,IF(R21="Review待ち",0.7,IF(R21="作業中",0.3,0))))</x:f>
        <x:v>0</x:v>
      </x:c>
      <x:c r="T21" s="37" t="str">
        <x:f>IF(AND(R21&lt;&gt;"完了",TODAY()&gt;O21),"遅延","")</x:f>
      </x:c>
      <x:c r="U21" s="37" t="str">
        <x:v>API-USR-003_ユーザー状態・Role更新詳細設計書.xlsx</x:v>
      </x:c>
      <x:c r="V21" s="37" t="str"/>
    </x:row>
    <x:row r="22">
      <x:c r="A22" s="37" t="str">
        <x:v>WP-020-DD</x:v>
      </x:c>
      <x:c r="B22" s="37" t="str">
        <x:v>WP-020</x:v>
      </x:c>
      <x:c r="C22" s="37" t="str">
        <x:v>API-USR-004</x:v>
      </x:c>
      <x:c r="D22" s="37" t="str">
        <x:v>パスワードリセット</x:v>
      </x:c>
      <x:c r="E22" s="37" t="str">
        <x:v>API</x:v>
      </x:c>
      <x:c r="F22" s="37" t="str">
        <x:v>Spring Boot</x:v>
      </x:c>
      <x:c r="G22" s="37" t="str">
        <x:v>詳細設計</x:v>
      </x:c>
      <x:c r="H22" s="37" t="str">
        <x:v>PG-01</x:v>
      </x:c>
      <x:c r="I22" s="37" t="str">
        <x:v>Project Leader</x:v>
      </x:c>
      <x:c r="J22" s="37" t="str">
        <x:v>-</x:v>
      </x:c>
      <x:c r="K22" s="37" t="n">
        <x:v>14</x:v>
      </x:c>
      <x:c r="L22" s="37" t="n">
        <x:v>2</x:v>
      </x:c>
      <x:c r="M22" s="37" t="n">
        <x:v>2</x:v>
      </x:c>
      <x:c r="N22" s="38" t="n">
        <x:v>46289</x:v>
      </x:c>
      <x:c r="O22" s="38" t="n">
        <x:v>46290</x:v>
      </x:c>
      <x:c r="P22" s="38"/>
      <x:c r="Q22" s="38"/>
      <x:c r="R22" s="37" t="str">
        <x:v>未着手</x:v>
      </x:c>
      <x:c r="S22" s="40" t="n">
        <x:f>IF(R22="完了",1,IF(R22="修正中",0.8,IF(R22="Review待ち",0.7,IF(R22="作業中",0.3,0))))</x:f>
        <x:v>0</x:v>
      </x:c>
      <x:c r="T22" s="37" t="str">
        <x:f>IF(AND(R22&lt;&gt;"完了",TODAY()&gt;O22),"遅延","")</x:f>
      </x:c>
      <x:c r="U22" s="37" t="str">
        <x:v>API-USR-004_パスワードリセット詳細設計書.xlsx</x:v>
      </x:c>
      <x:c r="V22" s="37" t="str"/>
    </x:row>
    <x:row r="23">
      <x:c r="A23" s="37" t="str">
        <x:v>WP-069-DD</x:v>
      </x:c>
      <x:c r="B23" s="37" t="str">
        <x:v>WP-069</x:v>
      </x:c>
      <x:c r="C23" s="37" t="str">
        <x:v>SCR-001-VUE</x:v>
      </x:c>
      <x:c r="D23" s="37" t="str">
        <x:v>ログイン画面（Vue）</x:v>
      </x:c>
      <x:c r="E23" s="37" t="str">
        <x:v>画面</x:v>
      </x:c>
      <x:c r="F23" s="37" t="str">
        <x:v>Vue</x:v>
      </x:c>
      <x:c r="G23" s="37" t="str">
        <x:v>詳細設計</x:v>
      </x:c>
      <x:c r="H23" s="37" t="str">
        <x:v>PG-01</x:v>
      </x:c>
      <x:c r="I23" s="37" t="str">
        <x:v>Project Leader</x:v>
      </x:c>
      <x:c r="J23" s="37" t="str">
        <x:v>-</x:v>
      </x:c>
      <x:c r="K23" s="37" t="n">
        <x:v>7</x:v>
      </x:c>
      <x:c r="L23" s="37" t="n">
        <x:v>2</x:v>
      </x:c>
      <x:c r="M23" s="37" t="n">
        <x:v>1</x:v>
      </x:c>
      <x:c r="N23" s="38" t="n">
        <x:v>46293</x:v>
      </x:c>
      <x:c r="O23" s="38" t="n">
        <x:v>46293</x:v>
      </x:c>
      <x:c r="P23" s="38"/>
      <x:c r="Q23" s="38"/>
      <x:c r="R23" s="37" t="str">
        <x:v>未着手</x:v>
      </x:c>
      <x:c r="S23" s="40" t="n">
        <x:f>IF(R23="完了",1,IF(R23="修正中",0.8,IF(R23="Review待ち",0.7,IF(R23="作業中",0.3,0))))</x:f>
        <x:v>0</x:v>
      </x:c>
      <x:c r="T23" s="37" t="str">
        <x:f>IF(AND(R23&lt;&gt;"完了",TODAY()&gt;O23),"遅延","")</x:f>
      </x:c>
      <x:c r="U23" s="37" t="str">
        <x:v>SCR-001-VUE_ログイン画面（Vue）詳細設計書.xlsx</x:v>
      </x:c>
      <x:c r="V23" s="37" t="str"/>
    </x:row>
    <x:row r="24">
      <x:c r="A24" s="37" t="str">
        <x:v>WP-070-DD</x:v>
      </x:c>
      <x:c r="B24" s="37" t="str">
        <x:v>WP-070</x:v>
      </x:c>
      <x:c r="C24" s="37" t="str">
        <x:v>SCR-002-VUE</x:v>
      </x:c>
      <x:c r="D24" s="37" t="str">
        <x:v>ホームダッシュボード画面（Vue）</x:v>
      </x:c>
      <x:c r="E24" s="37" t="str">
        <x:v>画面</x:v>
      </x:c>
      <x:c r="F24" s="37" t="str">
        <x:v>Vue</x:v>
      </x:c>
      <x:c r="G24" s="37" t="str">
        <x:v>詳細設計</x:v>
      </x:c>
      <x:c r="H24" s="37" t="str">
        <x:v>PG-01</x:v>
      </x:c>
      <x:c r="I24" s="37" t="str">
        <x:v>Project Leader</x:v>
      </x:c>
      <x:c r="J24" s="37" t="str">
        <x:v>-</x:v>
      </x:c>
      <x:c r="K24" s="37" t="n">
        <x:v>21</x:v>
      </x:c>
      <x:c r="L24" s="37" t="n">
        <x:v>2</x:v>
      </x:c>
      <x:c r="M24" s="37" t="n">
        <x:v>3</x:v>
      </x:c>
      <x:c r="N24" s="38" t="n">
        <x:v>46294</x:v>
      </x:c>
      <x:c r="O24" s="38" t="n">
        <x:v>46296</x:v>
      </x:c>
      <x:c r="P24" s="38"/>
      <x:c r="Q24" s="38"/>
      <x:c r="R24" s="37" t="str">
        <x:v>未着手</x:v>
      </x:c>
      <x:c r="S24" s="40" t="n">
        <x:f>IF(R24="完了",1,IF(R24="修正中",0.8,IF(R24="Review待ち",0.7,IF(R24="作業中",0.3,0))))</x:f>
        <x:v>0</x:v>
      </x:c>
      <x:c r="T24" s="37" t="str">
        <x:f>IF(AND(R24&lt;&gt;"完了",TODAY()&gt;O24),"遅延","")</x:f>
      </x:c>
      <x:c r="U24" s="37" t="str">
        <x:v>SCR-002-VUE_ホームダッシュボード画面（Vue）詳細設計書.xlsx</x:v>
      </x:c>
      <x:c r="V24" s="37" t="str"/>
    </x:row>
    <x:row r="25">
      <x:c r="A25" s="37" t="str">
        <x:v>WP-091-DD</x:v>
      </x:c>
      <x:c r="B25" s="37" t="str">
        <x:v>WP-091</x:v>
      </x:c>
      <x:c r="C25" s="37" t="str">
        <x:v>SCR-023-VUE</x:v>
      </x:c>
      <x:c r="D25" s="37" t="str">
        <x:v>ユーザー管理画面（Vue）</x:v>
      </x:c>
      <x:c r="E25" s="37" t="str">
        <x:v>画面</x:v>
      </x:c>
      <x:c r="F25" s="37" t="str">
        <x:v>Vue</x:v>
      </x:c>
      <x:c r="G25" s="37" t="str">
        <x:v>詳細設計</x:v>
      </x:c>
      <x:c r="H25" s="37" t="str">
        <x:v>PG-01</x:v>
      </x:c>
      <x:c r="I25" s="37" t="str">
        <x:v>Project Leader</x:v>
      </x:c>
      <x:c r="J25" s="37" t="str">
        <x:v>-</x:v>
      </x:c>
      <x:c r="K25" s="37" t="n">
        <x:v>21</x:v>
      </x:c>
      <x:c r="L25" s="37" t="n">
        <x:v>2</x:v>
      </x:c>
      <x:c r="M25" s="37" t="n">
        <x:v>3</x:v>
      </x:c>
      <x:c r="N25" s="38" t="n">
        <x:v>46297</x:v>
      </x:c>
      <x:c r="O25" s="38" t="n">
        <x:v>46301</x:v>
      </x:c>
      <x:c r="P25" s="38"/>
      <x:c r="Q25" s="38"/>
      <x:c r="R25" s="37" t="str">
        <x:v>未着手</x:v>
      </x:c>
      <x:c r="S25" s="40" t="n">
        <x:f>IF(R25="完了",1,IF(R25="修正中",0.8,IF(R25="Review待ち",0.7,IF(R25="作業中",0.3,0))))</x:f>
        <x:v>0</x:v>
      </x:c>
      <x:c r="T25" s="37" t="str">
        <x:f>IF(AND(R25&lt;&gt;"完了",TODAY()&gt;O25),"遅延","")</x:f>
      </x:c>
      <x:c r="U25" s="37" t="str">
        <x:v>SCR-023-VUE_ユーザー管理画面（Vue）詳細設計書.xlsx</x:v>
      </x:c>
      <x:c r="V25" s="37" t="str"/>
    </x:row>
    <x:row r="26">
      <x:c r="A26" s="37" t="str">
        <x:v>WP-093-DD</x:v>
      </x:c>
      <x:c r="B26" s="37" t="str">
        <x:v>WP-093</x:v>
      </x:c>
      <x:c r="C26" s="37" t="str">
        <x:v>SCR-025-VUE</x:v>
      </x:c>
      <x:c r="D26" s="37" t="str">
        <x:v>操作ログ画面（Vue）</x:v>
      </x:c>
      <x:c r="E26" s="37" t="str">
        <x:v>画面</x:v>
      </x:c>
      <x:c r="F26" s="37" t="str">
        <x:v>Vue</x:v>
      </x:c>
      <x:c r="G26" s="37" t="str">
        <x:v>詳細設計</x:v>
      </x:c>
      <x:c r="H26" s="37" t="str">
        <x:v>PG-01</x:v>
      </x:c>
      <x:c r="I26" s="37" t="str">
        <x:v>Project Leader</x:v>
      </x:c>
      <x:c r="J26" s="37" t="str">
        <x:v>-</x:v>
      </x:c>
      <x:c r="K26" s="37" t="n">
        <x:v>7</x:v>
      </x:c>
      <x:c r="L26" s="37" t="n">
        <x:v>2</x:v>
      </x:c>
      <x:c r="M26" s="37" t="n">
        <x:v>1</x:v>
      </x:c>
      <x:c r="N26" s="38" t="n">
        <x:v>46302</x:v>
      </x:c>
      <x:c r="O26" s="38" t="n">
        <x:v>46302</x:v>
      </x:c>
      <x:c r="P26" s="38"/>
      <x:c r="Q26" s="38"/>
      <x:c r="R26" s="37" t="str">
        <x:v>未着手</x:v>
      </x:c>
      <x:c r="S26" s="40" t="n">
        <x:f>IF(R26="完了",1,IF(R26="修正中",0.8,IF(R26="Review待ち",0.7,IF(R26="作業中",0.3,0))))</x:f>
        <x:v>0</x:v>
      </x:c>
      <x:c r="T26" s="37" t="str">
        <x:f>IF(AND(R26&lt;&gt;"完了",TODAY()&gt;O26),"遅延","")</x:f>
      </x:c>
      <x:c r="U26" s="37" t="str">
        <x:v>SCR-025-VUE_操作ログ画面（Vue）詳細設計書.xlsx</x:v>
      </x:c>
      <x:c r="V26" s="37" t="str"/>
    </x:row>
    <x:row r="27">
      <x:c r="A27" s="37" t="str">
        <x:v>WP-094-DD</x:v>
      </x:c>
      <x:c r="B27" s="37" t="str">
        <x:v>WP-094</x:v>
      </x:c>
      <x:c r="C27" s="37" t="str">
        <x:v>SCR-026-VUE</x:v>
      </x:c>
      <x:c r="D27" s="37" t="str">
        <x:v>パスワード変更画面（Vue）</x:v>
      </x:c>
      <x:c r="E27" s="37" t="str">
        <x:v>画面</x:v>
      </x:c>
      <x:c r="F27" s="37" t="str">
        <x:v>Vue</x:v>
      </x:c>
      <x:c r="G27" s="37" t="str">
        <x:v>詳細設計</x:v>
      </x:c>
      <x:c r="H27" s="37" t="str">
        <x:v>PG-01</x:v>
      </x:c>
      <x:c r="I27" s="37" t="str">
        <x:v>Project Leader</x:v>
      </x:c>
      <x:c r="J27" s="37" t="str">
        <x:v>-</x:v>
      </x:c>
      <x:c r="K27" s="37" t="n">
        <x:v>14</x:v>
      </x:c>
      <x:c r="L27" s="37" t="n">
        <x:v>2</x:v>
      </x:c>
      <x:c r="M27" s="37" t="n">
        <x:v>2</x:v>
      </x:c>
      <x:c r="N27" s="38" t="n">
        <x:v>46303</x:v>
      </x:c>
      <x:c r="O27" s="38" t="n">
        <x:v>46304</x:v>
      </x:c>
      <x:c r="P27" s="38"/>
      <x:c r="Q27" s="38"/>
      <x:c r="R27" s="37" t="str">
        <x:v>未着手</x:v>
      </x:c>
      <x:c r="S27" s="40" t="n">
        <x:f>IF(R27="完了",1,IF(R27="修正中",0.8,IF(R27="Review待ち",0.7,IF(R27="作業中",0.3,0))))</x:f>
        <x:v>0</x:v>
      </x:c>
      <x:c r="T27" s="37" t="str">
        <x:f>IF(AND(R27&lt;&gt;"完了",TODAY()&gt;O27),"遅延","")</x:f>
      </x:c>
      <x:c r="U27" s="37" t="str">
        <x:v>SCR-026-VUE_パスワード変更画面（Vue）詳細設計書.xlsx</x:v>
      </x:c>
      <x:c r="V27" s="37" t="str"/>
    </x:row>
    <x:row r="28">
      <x:c r="A28" s="37" t="str">
        <x:v>WP-003-DD</x:v>
      </x:c>
      <x:c r="B28" s="37" t="str">
        <x:v>WP-003</x:v>
      </x:c>
      <x:c r="C28" s="37" t="str">
        <x:v>COM-VUE-001</x:v>
      </x:c>
      <x:c r="D28" s="37" t="str">
        <x:v>Vue共通基盤</x:v>
      </x:c>
      <x:c r="E28" s="37" t="str">
        <x:v>共通</x:v>
      </x:c>
      <x:c r="F28" s="37" t="str">
        <x:v>Backend/共通</x:v>
      </x:c>
      <x:c r="G28" s="37" t="str">
        <x:v>詳細設計</x:v>
      </x:c>
      <x:c r="H28" s="37" t="str">
        <x:v>PG-02</x:v>
      </x:c>
      <x:c r="I28" s="37" t="str">
        <x:v>Project Leader</x:v>
      </x:c>
      <x:c r="J28" s="37" t="str">
        <x:v>-</x:v>
      </x:c>
      <x:c r="K28" s="37" t="n">
        <x:v>14</x:v>
      </x:c>
      <x:c r="L28" s="37" t="n">
        <x:v>2</x:v>
      </x:c>
      <x:c r="M28" s="37" t="n">
        <x:v>2</x:v>
      </x:c>
      <x:c r="N28" s="38" t="n">
        <x:v>46247</x:v>
      </x:c>
      <x:c r="O28" s="38" t="n">
        <x:v>46248</x:v>
      </x:c>
      <x:c r="P28" s="38"/>
      <x:c r="Q28" s="38"/>
      <x:c r="R28" s="37" t="str">
        <x:v>未着手</x:v>
      </x:c>
      <x:c r="S28" s="40" t="n">
        <x:f>IF(R28="完了",1,IF(R28="修正中",0.8,IF(R28="Review待ち",0.7,IF(R28="作業中",0.3,0))))</x:f>
        <x:v>0</x:v>
      </x:c>
      <x:c r="T28" s="37" t="str">
        <x:f>IF(AND(R28&lt;&gt;"完了",TODAY()&gt;O28),"遅延","")</x:f>
      </x:c>
      <x:c r="U28" s="37" t="str">
        <x:v>COM-VUE-001_Vue共通基盤詳細設計書.xlsx</x:v>
      </x:c>
      <x:c r="V28" s="37" t="str"/>
    </x:row>
    <x:row r="29">
      <x:c r="A29" s="37" t="str">
        <x:v>WP-028-DD</x:v>
      </x:c>
      <x:c r="B29" s="37" t="str">
        <x:v>WP-028</x:v>
      </x:c>
      <x:c r="C29" s="37" t="str">
        <x:v>API-EMP-001</x:v>
      </x:c>
      <x:c r="D29" s="37" t="str">
        <x:v>従業員ページ検索</x:v>
      </x:c>
      <x:c r="E29" s="37" t="str">
        <x:v>API</x:v>
      </x:c>
      <x:c r="F29" s="37" t="str">
        <x:v>Spring Boot</x:v>
      </x:c>
      <x:c r="G29" s="37" t="str">
        <x:v>詳細設計</x:v>
      </x:c>
      <x:c r="H29" s="37" t="str">
        <x:v>PG-02</x:v>
      </x:c>
      <x:c r="I29" s="37" t="str">
        <x:v>Project Leader</x:v>
      </x:c>
      <x:c r="J29" s="37" t="str">
        <x:v>-</x:v>
      </x:c>
      <x:c r="K29" s="37" t="n">
        <x:v>7</x:v>
      </x:c>
      <x:c r="L29" s="37" t="n">
        <x:v>2</x:v>
      </x:c>
      <x:c r="M29" s="37" t="n">
        <x:v>1</x:v>
      </x:c>
      <x:c r="N29" s="38" t="n">
        <x:v>46251</x:v>
      </x:c>
      <x:c r="O29" s="38" t="n">
        <x:v>46251</x:v>
      </x:c>
      <x:c r="P29" s="38"/>
      <x:c r="Q29" s="38"/>
      <x:c r="R29" s="37" t="str">
        <x:v>未着手</x:v>
      </x:c>
      <x:c r="S29" s="40" t="n">
        <x:f>IF(R29="完了",1,IF(R29="修正中",0.8,IF(R29="Review待ち",0.7,IF(R29="作業中",0.3,0))))</x:f>
        <x:v>0</x:v>
      </x:c>
      <x:c r="T29" s="37" t="str">
        <x:f>IF(AND(R29&lt;&gt;"完了",TODAY()&gt;O29),"遅延","")</x:f>
      </x:c>
      <x:c r="U29" s="37" t="str">
        <x:v>API-EMP-001_従業員ページ検索詳細設計書.xlsx</x:v>
      </x:c>
      <x:c r="V29" s="37" t="str"/>
    </x:row>
    <x:row r="30">
      <x:c r="A30" s="37" t="str">
        <x:v>WP-029-DD</x:v>
      </x:c>
      <x:c r="B30" s="37" t="str">
        <x:v>WP-029</x:v>
      </x:c>
      <x:c r="C30" s="37" t="str">
        <x:v>API-EMP-002</x:v>
      </x:c>
      <x:c r="D30" s="37" t="str">
        <x:v>従業員詳細</x:v>
      </x:c>
      <x:c r="E30" s="37" t="str">
        <x:v>API</x:v>
      </x:c>
      <x:c r="F30" s="37" t="str">
        <x:v>Spring Boot</x:v>
      </x:c>
      <x:c r="G30" s="37" t="str">
        <x:v>詳細設計</x:v>
      </x:c>
      <x:c r="H30" s="37" t="str">
        <x:v>PG-02</x:v>
      </x:c>
      <x:c r="I30" s="37" t="str">
        <x:v>Project Leader</x:v>
      </x:c>
      <x:c r="J30" s="37" t="str">
        <x:v>-</x:v>
      </x:c>
      <x:c r="K30" s="37" t="n">
        <x:v>7</x:v>
      </x:c>
      <x:c r="L30" s="37" t="n">
        <x:v>2</x:v>
      </x:c>
      <x:c r="M30" s="37" t="n">
        <x:v>1</x:v>
      </x:c>
      <x:c r="N30" s="38" t="n">
        <x:v>46252</x:v>
      </x:c>
      <x:c r="O30" s="38" t="n">
        <x:v>46252</x:v>
      </x:c>
      <x:c r="P30" s="38"/>
      <x:c r="Q30" s="38"/>
      <x:c r="R30" s="37" t="str">
        <x:v>未着手</x:v>
      </x:c>
      <x:c r="S30" s="40" t="n">
        <x:f>IF(R30="完了",1,IF(R30="修正中",0.8,IF(R30="Review待ち",0.7,IF(R30="作業中",0.3,0))))</x:f>
        <x:v>0</x:v>
      </x:c>
      <x:c r="T30" s="37" t="str">
        <x:f>IF(AND(R30&lt;&gt;"完了",TODAY()&gt;O30),"遅延","")</x:f>
      </x:c>
      <x:c r="U30" s="37" t="str">
        <x:v>API-EMP-002_従業員詳細詳細設計書.xlsx</x:v>
      </x:c>
      <x:c r="V30" s="37" t="str"/>
    </x:row>
    <x:row r="31">
      <x:c r="A31" s="37" t="str">
        <x:v>WP-030-DD</x:v>
      </x:c>
      <x:c r="B31" s="37" t="str">
        <x:v>WP-030</x:v>
      </x:c>
      <x:c r="C31" s="37" t="str">
        <x:v>API-EMP-003</x:v>
      </x:c>
      <x:c r="D31" s="37" t="str">
        <x:v>従業員登録</x:v>
      </x:c>
      <x:c r="E31" s="37" t="str">
        <x:v>API</x:v>
      </x:c>
      <x:c r="F31" s="37" t="str">
        <x:v>Spring Boot</x:v>
      </x:c>
      <x:c r="G31" s="37" t="str">
        <x:v>詳細設計</x:v>
      </x:c>
      <x:c r="H31" s="37" t="str">
        <x:v>PG-02</x:v>
      </x:c>
      <x:c r="I31" s="37" t="str">
        <x:v>Project Leader</x:v>
      </x:c>
      <x:c r="J31" s="37" t="str">
        <x:v>-</x:v>
      </x:c>
      <x:c r="K31" s="37" t="n">
        <x:v>14</x:v>
      </x:c>
      <x:c r="L31" s="37" t="n">
        <x:v>2</x:v>
      </x:c>
      <x:c r="M31" s="37" t="n">
        <x:v>2</x:v>
      </x:c>
      <x:c r="N31" s="38" t="n">
        <x:v>46253</x:v>
      </x:c>
      <x:c r="O31" s="38" t="n">
        <x:v>46254</x:v>
      </x:c>
      <x:c r="P31" s="38"/>
      <x:c r="Q31" s="38"/>
      <x:c r="R31" s="37" t="str">
        <x:v>未着手</x:v>
      </x:c>
      <x:c r="S31" s="40" t="n">
        <x:f>IF(R31="完了",1,IF(R31="修正中",0.8,IF(R31="Review待ち",0.7,IF(R31="作業中",0.3,0))))</x:f>
        <x:v>0</x:v>
      </x:c>
      <x:c r="T31" s="37" t="str">
        <x:f>IF(AND(R31&lt;&gt;"完了",TODAY()&gt;O31),"遅延","")</x:f>
      </x:c>
      <x:c r="U31" s="37" t="str">
        <x:v>API-EMP-003_従業員登録詳細設計書.xlsx</x:v>
      </x:c>
      <x:c r="V31" s="37" t="str"/>
    </x:row>
    <x:row r="32">
      <x:c r="A32" s="37" t="str">
        <x:v>WP-031-DD</x:v>
      </x:c>
      <x:c r="B32" s="37" t="str">
        <x:v>WP-031</x:v>
      </x:c>
      <x:c r="C32" s="37" t="str">
        <x:v>API-EMP-004</x:v>
      </x:c>
      <x:c r="D32" s="37" t="str">
        <x:v>従業員更新</x:v>
      </x:c>
      <x:c r="E32" s="37" t="str">
        <x:v>API</x:v>
      </x:c>
      <x:c r="F32" s="37" t="str">
        <x:v>Spring Boot</x:v>
      </x:c>
      <x:c r="G32" s="37" t="str">
        <x:v>詳細設計</x:v>
      </x:c>
      <x:c r="H32" s="37" t="str">
        <x:v>PG-02</x:v>
      </x:c>
      <x:c r="I32" s="37" t="str">
        <x:v>Project Leader</x:v>
      </x:c>
      <x:c r="J32" s="37" t="str">
        <x:v>-</x:v>
      </x:c>
      <x:c r="K32" s="37" t="n">
        <x:v>14</x:v>
      </x:c>
      <x:c r="L32" s="37" t="n">
        <x:v>2</x:v>
      </x:c>
      <x:c r="M32" s="37" t="n">
        <x:v>2</x:v>
      </x:c>
      <x:c r="N32" s="38" t="n">
        <x:v>46255</x:v>
      </x:c>
      <x:c r="O32" s="38" t="n">
        <x:v>46258</x:v>
      </x:c>
      <x:c r="P32" s="38"/>
      <x:c r="Q32" s="38"/>
      <x:c r="R32" s="37" t="str">
        <x:v>未着手</x:v>
      </x:c>
      <x:c r="S32" s="40" t="n">
        <x:f>IF(R32="完了",1,IF(R32="修正中",0.8,IF(R32="Review待ち",0.7,IF(R32="作業中",0.3,0))))</x:f>
        <x:v>0</x:v>
      </x:c>
      <x:c r="T32" s="37" t="str">
        <x:f>IF(AND(R32&lt;&gt;"完了",TODAY()&gt;O32),"遅延","")</x:f>
      </x:c>
      <x:c r="U32" s="37" t="str">
        <x:v>API-EMP-004_従業員更新詳細設計書.xlsx</x:v>
      </x:c>
      <x:c r="V32" s="37" t="str"/>
    </x:row>
    <x:row r="33">
      <x:c r="A33" s="37" t="str">
        <x:v>WP-032-DD</x:v>
      </x:c>
      <x:c r="B33" s="37" t="str">
        <x:v>WP-032</x:v>
      </x:c>
      <x:c r="C33" s="37" t="str">
        <x:v>API-EMP-005</x:v>
      </x:c>
      <x:c r="D33" s="37" t="str">
        <x:v>従業員状態変更</x:v>
      </x:c>
      <x:c r="E33" s="37" t="str">
        <x:v>API</x:v>
      </x:c>
      <x:c r="F33" s="37" t="str">
        <x:v>Spring Boot</x:v>
      </x:c>
      <x:c r="G33" s="37" t="str">
        <x:v>詳細設計</x:v>
      </x:c>
      <x:c r="H33" s="37" t="str">
        <x:v>PG-02</x:v>
      </x:c>
      <x:c r="I33" s="37" t="str">
        <x:v>Project Leader</x:v>
      </x:c>
      <x:c r="J33" s="37" t="str">
        <x:v>-</x:v>
      </x:c>
      <x:c r="K33" s="37" t="n">
        <x:v>14</x:v>
      </x:c>
      <x:c r="L33" s="37" t="n">
        <x:v>2</x:v>
      </x:c>
      <x:c r="M33" s="37" t="n">
        <x:v>2</x:v>
      </x:c>
      <x:c r="N33" s="38" t="n">
        <x:v>46259</x:v>
      </x:c>
      <x:c r="O33" s="38" t="n">
        <x:v>46260</x:v>
      </x:c>
      <x:c r="P33" s="38"/>
      <x:c r="Q33" s="38"/>
      <x:c r="R33" s="37" t="str">
        <x:v>未着手</x:v>
      </x:c>
      <x:c r="S33" s="40" t="n">
        <x:f>IF(R33="完了",1,IF(R33="修正中",0.8,IF(R33="Review待ち",0.7,IF(R33="作業中",0.3,0))))</x:f>
        <x:v>0</x:v>
      </x:c>
      <x:c r="T33" s="37" t="str">
        <x:f>IF(AND(R33&lt;&gt;"完了",TODAY()&gt;O33),"遅延","")</x:f>
      </x:c>
      <x:c r="U33" s="37" t="str">
        <x:v>API-EMP-005_従業員状態変更詳細設計書.xlsx</x:v>
      </x:c>
      <x:c r="V33" s="37" t="str"/>
    </x:row>
    <x:row r="34">
      <x:c r="A34" s="37" t="str">
        <x:v>WP-033-DD</x:v>
      </x:c>
      <x:c r="B34" s="37" t="str">
        <x:v>WP-033</x:v>
      </x:c>
      <x:c r="C34" s="37" t="str">
        <x:v>API-EMP-006</x:v>
      </x:c>
      <x:c r="D34" s="37" t="str">
        <x:v>従業員Excel取込</x:v>
      </x:c>
      <x:c r="E34" s="37" t="str">
        <x:v>API</x:v>
      </x:c>
      <x:c r="F34" s="37" t="str">
        <x:v>Spring Boot</x:v>
      </x:c>
      <x:c r="G34" s="37" t="str">
        <x:v>詳細設計</x:v>
      </x:c>
      <x:c r="H34" s="37" t="str">
        <x:v>PG-02</x:v>
      </x:c>
      <x:c r="I34" s="37" t="str">
        <x:v>Project Leader</x:v>
      </x:c>
      <x:c r="J34" s="37" t="str">
        <x:v>-</x:v>
      </x:c>
      <x:c r="K34" s="37" t="n">
        <x:v>21</x:v>
      </x:c>
      <x:c r="L34" s="37" t="n">
        <x:v>2</x:v>
      </x:c>
      <x:c r="M34" s="37" t="n">
        <x:v>3</x:v>
      </x:c>
      <x:c r="N34" s="38" t="n">
        <x:v>46261</x:v>
      </x:c>
      <x:c r="O34" s="38" t="n">
        <x:v>46265</x:v>
      </x:c>
      <x:c r="P34" s="38"/>
      <x:c r="Q34" s="38"/>
      <x:c r="R34" s="37" t="str">
        <x:v>未着手</x:v>
      </x:c>
      <x:c r="S34" s="40" t="n">
        <x:f>IF(R34="完了",1,IF(R34="修正中",0.8,IF(R34="Review待ち",0.7,IF(R34="作業中",0.3,0))))</x:f>
        <x:v>0</x:v>
      </x:c>
      <x:c r="T34" s="37" t="str">
        <x:f>IF(AND(R34&lt;&gt;"完了",TODAY()&gt;O34),"遅延","")</x:f>
      </x:c>
      <x:c r="U34" s="37" t="str">
        <x:v>API-EMP-006_従業員Excel取込詳細設計書.xlsx</x:v>
      </x:c>
      <x:c r="V34" s="37" t="str"/>
    </x:row>
    <x:row r="35">
      <x:c r="A35" s="37" t="str">
        <x:v>WP-034-DD</x:v>
      </x:c>
      <x:c r="B35" s="37" t="str">
        <x:v>WP-034</x:v>
      </x:c>
      <x:c r="C35" s="37" t="str">
        <x:v>API-EMP-007</x:v>
      </x:c>
      <x:c r="D35" s="37" t="str">
        <x:v>従業員Excel出力</x:v>
      </x:c>
      <x:c r="E35" s="37" t="str">
        <x:v>API</x:v>
      </x:c>
      <x:c r="F35" s="37" t="str">
        <x:v>Spring Boot</x:v>
      </x:c>
      <x:c r="G35" s="37" t="str">
        <x:v>詳細設計</x:v>
      </x:c>
      <x:c r="H35" s="37" t="str">
        <x:v>PG-02</x:v>
      </x:c>
      <x:c r="I35" s="37" t="str">
        <x:v>Project Leader</x:v>
      </x:c>
      <x:c r="J35" s="37" t="str">
        <x:v>-</x:v>
      </x:c>
      <x:c r="K35" s="37" t="n">
        <x:v>21</x:v>
      </x:c>
      <x:c r="L35" s="37" t="n">
        <x:v>2</x:v>
      </x:c>
      <x:c r="M35" s="37" t="n">
        <x:v>3</x:v>
      </x:c>
      <x:c r="N35" s="38" t="n">
        <x:v>46266</x:v>
      </x:c>
      <x:c r="O35" s="38" t="n">
        <x:v>46268</x:v>
      </x:c>
      <x:c r="P35" s="38"/>
      <x:c r="Q35" s="38"/>
      <x:c r="R35" s="37" t="str">
        <x:v>未着手</x:v>
      </x:c>
      <x:c r="S35" s="40" t="n">
        <x:f>IF(R35="完了",1,IF(R35="修正中",0.8,IF(R35="Review待ち",0.7,IF(R35="作業中",0.3,0))))</x:f>
        <x:v>0</x:v>
      </x:c>
      <x:c r="T35" s="37" t="str">
        <x:f>IF(AND(R35&lt;&gt;"完了",TODAY()&gt;O35),"遅延","")</x:f>
      </x:c>
      <x:c r="U35" s="37" t="str">
        <x:v>API-EMP-007_従業員Excel出力詳細設計書.xlsx</x:v>
      </x:c>
      <x:c r="V35" s="37" t="str"/>
    </x:row>
    <x:row r="36">
      <x:c r="A36" s="37" t="str">
        <x:v>WP-035-DD</x:v>
      </x:c>
      <x:c r="B36" s="37" t="str">
        <x:v>WP-035</x:v>
      </x:c>
      <x:c r="C36" s="37" t="str">
        <x:v>API-DEPT-001</x:v>
      </x:c>
      <x:c r="D36" s="37" t="str">
        <x:v>部門Tree取得</x:v>
      </x:c>
      <x:c r="E36" s="37" t="str">
        <x:v>API</x:v>
      </x:c>
      <x:c r="F36" s="37" t="str">
        <x:v>Spring Boot</x:v>
      </x:c>
      <x:c r="G36" s="37" t="str">
        <x:v>詳細設計</x:v>
      </x:c>
      <x:c r="H36" s="37" t="str">
        <x:v>PG-02</x:v>
      </x:c>
      <x:c r="I36" s="37" t="str">
        <x:v>Project Leader</x:v>
      </x:c>
      <x:c r="J36" s="37" t="str">
        <x:v>-</x:v>
      </x:c>
      <x:c r="K36" s="37" t="n">
        <x:v>7</x:v>
      </x:c>
      <x:c r="L36" s="37" t="n">
        <x:v>2</x:v>
      </x:c>
      <x:c r="M36" s="37" t="n">
        <x:v>1</x:v>
      </x:c>
      <x:c r="N36" s="38" t="n">
        <x:v>46269</x:v>
      </x:c>
      <x:c r="O36" s="38" t="n">
        <x:v>46269</x:v>
      </x:c>
      <x:c r="P36" s="38"/>
      <x:c r="Q36" s="38"/>
      <x:c r="R36" s="37" t="str">
        <x:v>未着手</x:v>
      </x:c>
      <x:c r="S36" s="40" t="n">
        <x:f>IF(R36="完了",1,IF(R36="修正中",0.8,IF(R36="Review待ち",0.7,IF(R36="作業中",0.3,0))))</x:f>
        <x:v>0</x:v>
      </x:c>
      <x:c r="T36" s="37" t="str">
        <x:f>IF(AND(R36&lt;&gt;"完了",TODAY()&gt;O36),"遅延","")</x:f>
      </x:c>
      <x:c r="U36" s="37" t="str">
        <x:v>API-DEPT-001_部門Tree取得詳細設計書.xlsx</x:v>
      </x:c>
      <x:c r="V36" s="37" t="str"/>
    </x:row>
    <x:row r="37">
      <x:c r="A37" s="37" t="str">
        <x:v>WP-036-DD</x:v>
      </x:c>
      <x:c r="B37" s="37" t="str">
        <x:v>WP-036</x:v>
      </x:c>
      <x:c r="C37" s="37" t="str">
        <x:v>API-DEPT-002</x:v>
      </x:c>
      <x:c r="D37" s="37" t="str">
        <x:v>部門詳細</x:v>
      </x:c>
      <x:c r="E37" s="37" t="str">
        <x:v>API</x:v>
      </x:c>
      <x:c r="F37" s="37" t="str">
        <x:v>Spring Boot</x:v>
      </x:c>
      <x:c r="G37" s="37" t="str">
        <x:v>詳細設計</x:v>
      </x:c>
      <x:c r="H37" s="37" t="str">
        <x:v>PG-02</x:v>
      </x:c>
      <x:c r="I37" s="37" t="str">
        <x:v>Project Leader</x:v>
      </x:c>
      <x:c r="J37" s="37" t="str">
        <x:v>-</x:v>
      </x:c>
      <x:c r="K37" s="37" t="n">
        <x:v>7</x:v>
      </x:c>
      <x:c r="L37" s="37" t="n">
        <x:v>2</x:v>
      </x:c>
      <x:c r="M37" s="37" t="n">
        <x:v>1</x:v>
      </x:c>
      <x:c r="N37" s="38" t="n">
        <x:v>46272</x:v>
      </x:c>
      <x:c r="O37" s="38" t="n">
        <x:v>46272</x:v>
      </x:c>
      <x:c r="P37" s="38"/>
      <x:c r="Q37" s="38"/>
      <x:c r="R37" s="37" t="str">
        <x:v>未着手</x:v>
      </x:c>
      <x:c r="S37" s="40" t="n">
        <x:f>IF(R37="完了",1,IF(R37="修正中",0.8,IF(R37="Review待ち",0.7,IF(R37="作業中",0.3,0))))</x:f>
        <x:v>0</x:v>
      </x:c>
      <x:c r="T37" s="37" t="str">
        <x:f>IF(AND(R37&lt;&gt;"完了",TODAY()&gt;O37),"遅延","")</x:f>
      </x:c>
      <x:c r="U37" s="37" t="str">
        <x:v>API-DEPT-002_部門詳細詳細設計書.xlsx</x:v>
      </x:c>
      <x:c r="V37" s="37" t="str"/>
    </x:row>
    <x:row r="38">
      <x:c r="A38" s="37" t="str">
        <x:v>WP-037-DD</x:v>
      </x:c>
      <x:c r="B38" s="37" t="str">
        <x:v>WP-037</x:v>
      </x:c>
      <x:c r="C38" s="37" t="str">
        <x:v>API-DEPT-003</x:v>
      </x:c>
      <x:c r="D38" s="37" t="str">
        <x:v>部門登録</x:v>
      </x:c>
      <x:c r="E38" s="37" t="str">
        <x:v>API</x:v>
      </x:c>
      <x:c r="F38" s="37" t="str">
        <x:v>Spring Boot</x:v>
      </x:c>
      <x:c r="G38" s="37" t="str">
        <x:v>詳細設計</x:v>
      </x:c>
      <x:c r="H38" s="37" t="str">
        <x:v>PG-02</x:v>
      </x:c>
      <x:c r="I38" s="37" t="str">
        <x:v>Project Leader</x:v>
      </x:c>
      <x:c r="J38" s="37" t="str">
        <x:v>-</x:v>
      </x:c>
      <x:c r="K38" s="37" t="n">
        <x:v>14</x:v>
      </x:c>
      <x:c r="L38" s="37" t="n">
        <x:v>2</x:v>
      </x:c>
      <x:c r="M38" s="37" t="n">
        <x:v>2</x:v>
      </x:c>
      <x:c r="N38" s="38" t="n">
        <x:v>46273</x:v>
      </x:c>
      <x:c r="O38" s="38" t="n">
        <x:v>46274</x:v>
      </x:c>
      <x:c r="P38" s="38"/>
      <x:c r="Q38" s="38"/>
      <x:c r="R38" s="37" t="str">
        <x:v>未着手</x:v>
      </x:c>
      <x:c r="S38" s="40" t="n">
        <x:f>IF(R38="完了",1,IF(R38="修正中",0.8,IF(R38="Review待ち",0.7,IF(R38="作業中",0.3,0))))</x:f>
        <x:v>0</x:v>
      </x:c>
      <x:c r="T38" s="37" t="str">
        <x:f>IF(AND(R38&lt;&gt;"完了",TODAY()&gt;O38),"遅延","")</x:f>
      </x:c>
      <x:c r="U38" s="37" t="str">
        <x:v>API-DEPT-003_部門登録詳細設計書.xlsx</x:v>
      </x:c>
      <x:c r="V38" s="37" t="str"/>
    </x:row>
    <x:row r="39">
      <x:c r="A39" s="37" t="str">
        <x:v>WP-038-DD</x:v>
      </x:c>
      <x:c r="B39" s="37" t="str">
        <x:v>WP-038</x:v>
      </x:c>
      <x:c r="C39" s="37" t="str">
        <x:v>API-DEPT-004</x:v>
      </x:c>
      <x:c r="D39" s="37" t="str">
        <x:v>部門更新</x:v>
      </x:c>
      <x:c r="E39" s="37" t="str">
        <x:v>API</x:v>
      </x:c>
      <x:c r="F39" s="37" t="str">
        <x:v>Spring Boot</x:v>
      </x:c>
      <x:c r="G39" s="37" t="str">
        <x:v>詳細設計</x:v>
      </x:c>
      <x:c r="H39" s="37" t="str">
        <x:v>PG-02</x:v>
      </x:c>
      <x:c r="I39" s="37" t="str">
        <x:v>Project Leader</x:v>
      </x:c>
      <x:c r="J39" s="37" t="str">
        <x:v>-</x:v>
      </x:c>
      <x:c r="K39" s="37" t="n">
        <x:v>14</x:v>
      </x:c>
      <x:c r="L39" s="37" t="n">
        <x:v>2</x:v>
      </x:c>
      <x:c r="M39" s="37" t="n">
        <x:v>2</x:v>
      </x:c>
      <x:c r="N39" s="38" t="n">
        <x:v>46275</x:v>
      </x:c>
      <x:c r="O39" s="38" t="n">
        <x:v>46276</x:v>
      </x:c>
      <x:c r="P39" s="38"/>
      <x:c r="Q39" s="38"/>
      <x:c r="R39" s="37" t="str">
        <x:v>未着手</x:v>
      </x:c>
      <x:c r="S39" s="40" t="n">
        <x:f>IF(R39="完了",1,IF(R39="修正中",0.8,IF(R39="Review待ち",0.7,IF(R39="作業中",0.3,0))))</x:f>
        <x:v>0</x:v>
      </x:c>
      <x:c r="T39" s="37" t="str">
        <x:f>IF(AND(R39&lt;&gt;"完了",TODAY()&gt;O39),"遅延","")</x:f>
      </x:c>
      <x:c r="U39" s="37" t="str">
        <x:v>API-DEPT-004_部門更新詳細設計書.xlsx</x:v>
      </x:c>
      <x:c r="V39" s="37" t="str"/>
    </x:row>
    <x:row r="40">
      <x:c r="A40" s="37" t="str">
        <x:v>WP-039-DD</x:v>
      </x:c>
      <x:c r="B40" s="37" t="str">
        <x:v>WP-039</x:v>
      </x:c>
      <x:c r="C40" s="37" t="str">
        <x:v>API-DEPT-005</x:v>
      </x:c>
      <x:c r="D40" s="37" t="str">
        <x:v>部門削除</x:v>
      </x:c>
      <x:c r="E40" s="37" t="str">
        <x:v>API</x:v>
      </x:c>
      <x:c r="F40" s="37" t="str">
        <x:v>Spring Boot</x:v>
      </x:c>
      <x:c r="G40" s="37" t="str">
        <x:v>詳細設計</x:v>
      </x:c>
      <x:c r="H40" s="37" t="str">
        <x:v>PG-02</x:v>
      </x:c>
      <x:c r="I40" s="37" t="str">
        <x:v>Project Leader</x:v>
      </x:c>
      <x:c r="J40" s="37" t="str">
        <x:v>-</x:v>
      </x:c>
      <x:c r="K40" s="37" t="n">
        <x:v>14</x:v>
      </x:c>
      <x:c r="L40" s="37" t="n">
        <x:v>2</x:v>
      </x:c>
      <x:c r="M40" s="37" t="n">
        <x:v>2</x:v>
      </x:c>
      <x:c r="N40" s="38" t="n">
        <x:v>46279</x:v>
      </x:c>
      <x:c r="O40" s="38" t="n">
        <x:v>46280</x:v>
      </x:c>
      <x:c r="P40" s="38"/>
      <x:c r="Q40" s="38"/>
      <x:c r="R40" s="37" t="str">
        <x:v>未着手</x:v>
      </x:c>
      <x:c r="S40" s="40" t="n">
        <x:f>IF(R40="完了",1,IF(R40="修正中",0.8,IF(R40="Review待ち",0.7,IF(R40="作業中",0.3,0))))</x:f>
        <x:v>0</x:v>
      </x:c>
      <x:c r="T40" s="37" t="str">
        <x:f>IF(AND(R40&lt;&gt;"完了",TODAY()&gt;O40),"遅延","")</x:f>
      </x:c>
      <x:c r="U40" s="37" t="str">
        <x:v>API-DEPT-005_部門削除詳細設計書.xlsx</x:v>
      </x:c>
      <x:c r="V40" s="37" t="str"/>
    </x:row>
    <x:row r="41">
      <x:c r="A41" s="37" t="str">
        <x:v>WP-071-DD</x:v>
      </x:c>
      <x:c r="B41" s="37" t="str">
        <x:v>WP-071</x:v>
      </x:c>
      <x:c r="C41" s="37" t="str">
        <x:v>SCR-003-VUE</x:v>
      </x:c>
      <x:c r="D41" s="37" t="str">
        <x:v>従業員一覧画面（Vue）</x:v>
      </x:c>
      <x:c r="E41" s="37" t="str">
        <x:v>画面</x:v>
      </x:c>
      <x:c r="F41" s="37" t="str">
        <x:v>Vue</x:v>
      </x:c>
      <x:c r="G41" s="37" t="str">
        <x:v>詳細設計</x:v>
      </x:c>
      <x:c r="H41" s="37" t="str">
        <x:v>PG-02</x:v>
      </x:c>
      <x:c r="I41" s="37" t="str">
        <x:v>Project Leader</x:v>
      </x:c>
      <x:c r="J41" s="37" t="str">
        <x:v>-</x:v>
      </x:c>
      <x:c r="K41" s="37" t="n">
        <x:v>7</x:v>
      </x:c>
      <x:c r="L41" s="37" t="n">
        <x:v>2</x:v>
      </x:c>
      <x:c r="M41" s="37" t="n">
        <x:v>1</x:v>
      </x:c>
      <x:c r="N41" s="38" t="n">
        <x:v>46281</x:v>
      </x:c>
      <x:c r="O41" s="38" t="n">
        <x:v>46281</x:v>
      </x:c>
      <x:c r="P41" s="38"/>
      <x:c r="Q41" s="38"/>
      <x:c r="R41" s="37" t="str">
        <x:v>未着手</x:v>
      </x:c>
      <x:c r="S41" s="40" t="n">
        <x:f>IF(R41="完了",1,IF(R41="修正中",0.8,IF(R41="Review待ち",0.7,IF(R41="作業中",0.3,0))))</x:f>
        <x:v>0</x:v>
      </x:c>
      <x:c r="T41" s="37" t="str">
        <x:f>IF(AND(R41&lt;&gt;"完了",TODAY()&gt;O41),"遅延","")</x:f>
      </x:c>
      <x:c r="U41" s="37" t="str">
        <x:v>SCR-003-VUE_従業員一覧画面（Vue）詳細設計書.xlsx</x:v>
      </x:c>
      <x:c r="V41" s="37" t="str"/>
    </x:row>
    <x:row r="42">
      <x:c r="A42" s="37" t="str">
        <x:v>WP-072-DD</x:v>
      </x:c>
      <x:c r="B42" s="37" t="str">
        <x:v>WP-072</x:v>
      </x:c>
      <x:c r="C42" s="37" t="str">
        <x:v>SCR-004-VUE</x:v>
      </x:c>
      <x:c r="D42" s="37" t="str">
        <x:v>従業員登録画面（Vue）</x:v>
      </x:c>
      <x:c r="E42" s="37" t="str">
        <x:v>画面</x:v>
      </x:c>
      <x:c r="F42" s="37" t="str">
        <x:v>Vue</x:v>
      </x:c>
      <x:c r="G42" s="37" t="str">
        <x:v>詳細設計</x:v>
      </x:c>
      <x:c r="H42" s="37" t="str">
        <x:v>PG-02</x:v>
      </x:c>
      <x:c r="I42" s="37" t="str">
        <x:v>Project Leader</x:v>
      </x:c>
      <x:c r="J42" s="37" t="str">
        <x:v>-</x:v>
      </x:c>
      <x:c r="K42" s="37" t="n">
        <x:v>14</x:v>
      </x:c>
      <x:c r="L42" s="37" t="n">
        <x:v>2</x:v>
      </x:c>
      <x:c r="M42" s="37" t="n">
        <x:v>2</x:v>
      </x:c>
      <x:c r="N42" s="38" t="n">
        <x:v>46282</x:v>
      </x:c>
      <x:c r="O42" s="38" t="n">
        <x:v>46283</x:v>
      </x:c>
      <x:c r="P42" s="38"/>
      <x:c r="Q42" s="38"/>
      <x:c r="R42" s="37" t="str">
        <x:v>未着手</x:v>
      </x:c>
      <x:c r="S42" s="40" t="n">
        <x:f>IF(R42="完了",1,IF(R42="修正中",0.8,IF(R42="Review待ち",0.7,IF(R42="作業中",0.3,0))))</x:f>
        <x:v>0</x:v>
      </x:c>
      <x:c r="T42" s="37" t="str">
        <x:f>IF(AND(R42&lt;&gt;"完了",TODAY()&gt;O42),"遅延","")</x:f>
      </x:c>
      <x:c r="U42" s="37" t="str">
        <x:v>SCR-004-VUE_従業員登録画面（Vue）詳細設計書.xlsx</x:v>
      </x:c>
      <x:c r="V42" s="37" t="str"/>
    </x:row>
    <x:row r="43">
      <x:c r="A43" s="37" t="str">
        <x:v>WP-073-DD</x:v>
      </x:c>
      <x:c r="B43" s="37" t="str">
        <x:v>WP-073</x:v>
      </x:c>
      <x:c r="C43" s="37" t="str">
        <x:v>SCR-005-VUE</x:v>
      </x:c>
      <x:c r="D43" s="37" t="str">
        <x:v>従業員編集画面（Vue）</x:v>
      </x:c>
      <x:c r="E43" s="37" t="str">
        <x:v>画面</x:v>
      </x:c>
      <x:c r="F43" s="37" t="str">
        <x:v>Vue</x:v>
      </x:c>
      <x:c r="G43" s="37" t="str">
        <x:v>詳細設計</x:v>
      </x:c>
      <x:c r="H43" s="37" t="str">
        <x:v>PG-02</x:v>
      </x:c>
      <x:c r="I43" s="37" t="str">
        <x:v>Project Leader</x:v>
      </x:c>
      <x:c r="J43" s="37" t="str">
        <x:v>-</x:v>
      </x:c>
      <x:c r="K43" s="37" t="n">
        <x:v>14</x:v>
      </x:c>
      <x:c r="L43" s="37" t="n">
        <x:v>2</x:v>
      </x:c>
      <x:c r="M43" s="37" t="n">
        <x:v>2</x:v>
      </x:c>
      <x:c r="N43" s="38" t="n">
        <x:v>46289</x:v>
      </x:c>
      <x:c r="O43" s="38" t="n">
        <x:v>46290</x:v>
      </x:c>
      <x:c r="P43" s="38"/>
      <x:c r="Q43" s="38"/>
      <x:c r="R43" s="37" t="str">
        <x:v>未着手</x:v>
      </x:c>
      <x:c r="S43" s="40" t="n">
        <x:f>IF(R43="完了",1,IF(R43="修正中",0.8,IF(R43="Review待ち",0.7,IF(R43="作業中",0.3,0))))</x:f>
        <x:v>0</x:v>
      </x:c>
      <x:c r="T43" s="37" t="str">
        <x:f>IF(AND(R43&lt;&gt;"完了",TODAY()&gt;O43),"遅延","")</x:f>
      </x:c>
      <x:c r="U43" s="37" t="str">
        <x:v>SCR-005-VUE_従業員編集画面（Vue）詳細設計書.xlsx</x:v>
      </x:c>
      <x:c r="V43" s="37" t="str"/>
    </x:row>
    <x:row r="44">
      <x:c r="A44" s="37" t="str">
        <x:v>WP-074-DD</x:v>
      </x:c>
      <x:c r="B44" s="37" t="str">
        <x:v>WP-074</x:v>
      </x:c>
      <x:c r="C44" s="37" t="str">
        <x:v>SCR-006-VUE</x:v>
      </x:c>
      <x:c r="D44" s="37" t="str">
        <x:v>従業員詳細画面（Vue）</x:v>
      </x:c>
      <x:c r="E44" s="37" t="str">
        <x:v>画面</x:v>
      </x:c>
      <x:c r="F44" s="37" t="str">
        <x:v>Vue</x:v>
      </x:c>
      <x:c r="G44" s="37" t="str">
        <x:v>詳細設計</x:v>
      </x:c>
      <x:c r="H44" s="37" t="str">
        <x:v>PG-02</x:v>
      </x:c>
      <x:c r="I44" s="37" t="str">
        <x:v>Project Leader</x:v>
      </x:c>
      <x:c r="J44" s="37" t="str">
        <x:v>-</x:v>
      </x:c>
      <x:c r="K44" s="37" t="n">
        <x:v>21</x:v>
      </x:c>
      <x:c r="L44" s="37" t="n">
        <x:v>2</x:v>
      </x:c>
      <x:c r="M44" s="37" t="n">
        <x:v>3</x:v>
      </x:c>
      <x:c r="N44" s="38" t="n">
        <x:v>46293</x:v>
      </x:c>
      <x:c r="O44" s="38" t="n">
        <x:v>46295</x:v>
      </x:c>
      <x:c r="P44" s="38"/>
      <x:c r="Q44" s="38"/>
      <x:c r="R44" s="37" t="str">
        <x:v>未着手</x:v>
      </x:c>
      <x:c r="S44" s="40" t="n">
        <x:f>IF(R44="完了",1,IF(R44="修正中",0.8,IF(R44="Review待ち",0.7,IF(R44="作業中",0.3,0))))</x:f>
        <x:v>0</x:v>
      </x:c>
      <x:c r="T44" s="37" t="str">
        <x:f>IF(AND(R44&lt;&gt;"完了",TODAY()&gt;O44),"遅延","")</x:f>
      </x:c>
      <x:c r="U44" s="37" t="str">
        <x:v>SCR-006-VUE_従業員詳細画面（Vue）詳細設計書.xlsx</x:v>
      </x:c>
      <x:c r="V44" s="37" t="str"/>
    </x:row>
    <x:row r="45">
      <x:c r="A45" s="37" t="str">
        <x:v>WP-075-DD</x:v>
      </x:c>
      <x:c r="B45" s="37" t="str">
        <x:v>WP-075</x:v>
      </x:c>
      <x:c r="C45" s="37" t="str">
        <x:v>SCR-007-VUE</x:v>
      </x:c>
      <x:c r="D45" s="37" t="str">
        <x:v>部門管理画面（Vue）</x:v>
      </x:c>
      <x:c r="E45" s="37" t="str">
        <x:v>画面</x:v>
      </x:c>
      <x:c r="F45" s="37" t="str">
        <x:v>Vue</x:v>
      </x:c>
      <x:c r="G45" s="37" t="str">
        <x:v>詳細設計</x:v>
      </x:c>
      <x:c r="H45" s="37" t="str">
        <x:v>PG-02</x:v>
      </x:c>
      <x:c r="I45" s="37" t="str">
        <x:v>Project Leader</x:v>
      </x:c>
      <x:c r="J45" s="37" t="str">
        <x:v>-</x:v>
      </x:c>
      <x:c r="K45" s="37" t="n">
        <x:v>21</x:v>
      </x:c>
      <x:c r="L45" s="37" t="n">
        <x:v>2</x:v>
      </x:c>
      <x:c r="M45" s="37" t="n">
        <x:v>3</x:v>
      </x:c>
      <x:c r="N45" s="38" t="n">
        <x:v>46296</x:v>
      </x:c>
      <x:c r="O45" s="38" t="n">
        <x:v>46300</x:v>
      </x:c>
      <x:c r="P45" s="38"/>
      <x:c r="Q45" s="38"/>
      <x:c r="R45" s="37" t="str">
        <x:v>未着手</x:v>
      </x:c>
      <x:c r="S45" s="40" t="n">
        <x:f>IF(R45="完了",1,IF(R45="修正中",0.8,IF(R45="Review待ち",0.7,IF(R45="作業中",0.3,0))))</x:f>
        <x:v>0</x:v>
      </x:c>
      <x:c r="T45" s="37" t="str">
        <x:f>IF(AND(R45&lt;&gt;"完了",TODAY()&gt;O45),"遅延","")</x:f>
      </x:c>
      <x:c r="U45" s="37" t="str">
        <x:v>SCR-007-VUE_部門管理画面（Vue）詳細設計書.xlsx</x:v>
      </x:c>
      <x:c r="V45" s="37" t="str"/>
    </x:row>
    <x:row r="46">
      <x:c r="A46" s="37" t="str">
        <x:v>WP-004-DD</x:v>
      </x:c>
      <x:c r="B46" s="37" t="str">
        <x:v>WP-004</x:v>
      </x:c>
      <x:c r="C46" s="37" t="str">
        <x:v>COM-REACT-001</x:v>
      </x:c>
      <x:c r="D46" s="37" t="str">
        <x:v>React共通基盤</x:v>
      </x:c>
      <x:c r="E46" s="37" t="str">
        <x:v>共通</x:v>
      </x:c>
      <x:c r="F46" s="37" t="str">
        <x:v>Backend/共通</x:v>
      </x:c>
      <x:c r="G46" s="37" t="str">
        <x:v>詳細設計</x:v>
      </x:c>
      <x:c r="H46" s="37" t="str">
        <x:v>PG-03</x:v>
      </x:c>
      <x:c r="I46" s="37" t="str">
        <x:v>Project Leader</x:v>
      </x:c>
      <x:c r="J46" s="37" t="str">
        <x:v>-</x:v>
      </x:c>
      <x:c r="K46" s="37" t="n">
        <x:v>14</x:v>
      </x:c>
      <x:c r="L46" s="37" t="n">
        <x:v>2</x:v>
      </x:c>
      <x:c r="M46" s="37" t="n">
        <x:v>2</x:v>
      </x:c>
      <x:c r="N46" s="38" t="n">
        <x:v>46247</x:v>
      </x:c>
      <x:c r="O46" s="38" t="n">
        <x:v>46248</x:v>
      </x:c>
      <x:c r="P46" s="38"/>
      <x:c r="Q46" s="38"/>
      <x:c r="R46" s="37" t="str">
        <x:v>未着手</x:v>
      </x:c>
      <x:c r="S46" s="40" t="n">
        <x:f>IF(R46="完了",1,IF(R46="修正中",0.8,IF(R46="Review待ち",0.7,IF(R46="作業中",0.3,0))))</x:f>
        <x:v>0</x:v>
      </x:c>
      <x:c r="T46" s="37" t="str">
        <x:f>IF(AND(R46&lt;&gt;"完了",TODAY()&gt;O46),"遅延","")</x:f>
      </x:c>
      <x:c r="U46" s="37" t="str">
        <x:v>COM-REACT-001_React共通基盤詳細設計書.xlsx</x:v>
      </x:c>
      <x:c r="V46" s="37" t="str"/>
    </x:row>
    <x:row r="47">
      <x:c r="A47" s="37" t="str">
        <x:v>WP-021-DD</x:v>
      </x:c>
      <x:c r="B47" s="37" t="str">
        <x:v>WP-021</x:v>
      </x:c>
      <x:c r="C47" s="37" t="str">
        <x:v>API-ROLE-001</x:v>
      </x:c>
      <x:c r="D47" s="37" t="str">
        <x:v>Role一覧</x:v>
      </x:c>
      <x:c r="E47" s="37" t="str">
        <x:v>API</x:v>
      </x:c>
      <x:c r="F47" s="37" t="str">
        <x:v>Spring Boot</x:v>
      </x:c>
      <x:c r="G47" s="37" t="str">
        <x:v>詳細設計</x:v>
      </x:c>
      <x:c r="H47" s="37" t="str">
        <x:v>PG-03</x:v>
      </x:c>
      <x:c r="I47" s="37" t="str">
        <x:v>Project Leader</x:v>
      </x:c>
      <x:c r="J47" s="37" t="str">
        <x:v>-</x:v>
      </x:c>
      <x:c r="K47" s="37" t="n">
        <x:v>7</x:v>
      </x:c>
      <x:c r="L47" s="37" t="n">
        <x:v>2</x:v>
      </x:c>
      <x:c r="M47" s="37" t="n">
        <x:v>1</x:v>
      </x:c>
      <x:c r="N47" s="38" t="n">
        <x:v>46251</x:v>
      </x:c>
      <x:c r="O47" s="38" t="n">
        <x:v>46251</x:v>
      </x:c>
      <x:c r="P47" s="38"/>
      <x:c r="Q47" s="38"/>
      <x:c r="R47" s="37" t="str">
        <x:v>未着手</x:v>
      </x:c>
      <x:c r="S47" s="40" t="n">
        <x:f>IF(R47="完了",1,IF(R47="修正中",0.8,IF(R47="Review待ち",0.7,IF(R47="作業中",0.3,0))))</x:f>
        <x:v>0</x:v>
      </x:c>
      <x:c r="T47" s="37" t="str">
        <x:f>IF(AND(R47&lt;&gt;"完了",TODAY()&gt;O47),"遅延","")</x:f>
      </x:c>
      <x:c r="U47" s="37" t="str">
        <x:v>API-ROLE-001_Role一覧詳細設計書.xlsx</x:v>
      </x:c>
      <x:c r="V47" s="37" t="str"/>
    </x:row>
    <x:row r="48">
      <x:c r="A48" s="37" t="str">
        <x:v>WP-022-DD</x:v>
      </x:c>
      <x:c r="B48" s="37" t="str">
        <x:v>WP-022</x:v>
      </x:c>
      <x:c r="C48" s="37" t="str">
        <x:v>API-ROLE-002</x:v>
      </x:c>
      <x:c r="D48" s="37" t="str">
        <x:v>Role詳細</x:v>
      </x:c>
      <x:c r="E48" s="37" t="str">
        <x:v>API</x:v>
      </x:c>
      <x:c r="F48" s="37" t="str">
        <x:v>Spring Boot</x:v>
      </x:c>
      <x:c r="G48" s="37" t="str">
        <x:v>詳細設計</x:v>
      </x:c>
      <x:c r="H48" s="37" t="str">
        <x:v>PG-03</x:v>
      </x:c>
      <x:c r="I48" s="37" t="str">
        <x:v>Project Leader</x:v>
      </x:c>
      <x:c r="J48" s="37" t="str">
        <x:v>-</x:v>
      </x:c>
      <x:c r="K48" s="37" t="n">
        <x:v>7</x:v>
      </x:c>
      <x:c r="L48" s="37" t="n">
        <x:v>2</x:v>
      </x:c>
      <x:c r="M48" s="37" t="n">
        <x:v>1</x:v>
      </x:c>
      <x:c r="N48" s="38" t="n">
        <x:v>46252</x:v>
      </x:c>
      <x:c r="O48" s="38" t="n">
        <x:v>46252</x:v>
      </x:c>
      <x:c r="P48" s="38"/>
      <x:c r="Q48" s="38"/>
      <x:c r="R48" s="37" t="str">
        <x:v>未着手</x:v>
      </x:c>
      <x:c r="S48" s="40" t="n">
        <x:f>IF(R48="完了",1,IF(R48="修正中",0.8,IF(R48="Review待ち",0.7,IF(R48="作業中",0.3,0))))</x:f>
        <x:v>0</x:v>
      </x:c>
      <x:c r="T48" s="37" t="str">
        <x:f>IF(AND(R48&lt;&gt;"完了",TODAY()&gt;O48),"遅延","")</x:f>
      </x:c>
      <x:c r="U48" s="37" t="str">
        <x:v>API-ROLE-002_Role詳細詳細設計書.xlsx</x:v>
      </x:c>
      <x:c r="V48" s="37" t="str"/>
    </x:row>
    <x:row r="49">
      <x:c r="A49" s="37" t="str">
        <x:v>WP-023-DD</x:v>
      </x:c>
      <x:c r="B49" s="37" t="str">
        <x:v>WP-023</x:v>
      </x:c>
      <x:c r="C49" s="37" t="str">
        <x:v>API-ROLE-003</x:v>
      </x:c>
      <x:c r="D49" s="37" t="str">
        <x:v>Role登録</x:v>
      </x:c>
      <x:c r="E49" s="37" t="str">
        <x:v>API</x:v>
      </x:c>
      <x:c r="F49" s="37" t="str">
        <x:v>Spring Boot</x:v>
      </x:c>
      <x:c r="G49" s="37" t="str">
        <x:v>詳細設計</x:v>
      </x:c>
      <x:c r="H49" s="37" t="str">
        <x:v>PG-03</x:v>
      </x:c>
      <x:c r="I49" s="37" t="str">
        <x:v>Project Leader</x:v>
      </x:c>
      <x:c r="J49" s="37" t="str">
        <x:v>-</x:v>
      </x:c>
      <x:c r="K49" s="37" t="n">
        <x:v>14</x:v>
      </x:c>
      <x:c r="L49" s="37" t="n">
        <x:v>2</x:v>
      </x:c>
      <x:c r="M49" s="37" t="n">
        <x:v>2</x:v>
      </x:c>
      <x:c r="N49" s="38" t="n">
        <x:v>46253</x:v>
      </x:c>
      <x:c r="O49" s="38" t="n">
        <x:v>46254</x:v>
      </x:c>
      <x:c r="P49" s="38"/>
      <x:c r="Q49" s="38"/>
      <x:c r="R49" s="37" t="str">
        <x:v>未着手</x:v>
      </x:c>
      <x:c r="S49" s="40" t="n">
        <x:f>IF(R49="完了",1,IF(R49="修正中",0.8,IF(R49="Review待ち",0.7,IF(R49="作業中",0.3,0))))</x:f>
        <x:v>0</x:v>
      </x:c>
      <x:c r="T49" s="37" t="str">
        <x:f>IF(AND(R49&lt;&gt;"完了",TODAY()&gt;O49),"遅延","")</x:f>
      </x:c>
      <x:c r="U49" s="37" t="str">
        <x:v>API-ROLE-003_Role登録詳細設計書.xlsx</x:v>
      </x:c>
      <x:c r="V49" s="37" t="str"/>
    </x:row>
    <x:row r="50">
      <x:c r="A50" s="37" t="str">
        <x:v>WP-024-DD</x:v>
      </x:c>
      <x:c r="B50" s="37" t="str">
        <x:v>WP-024</x:v>
      </x:c>
      <x:c r="C50" s="37" t="str">
        <x:v>API-ROLE-004</x:v>
      </x:c>
      <x:c r="D50" s="37" t="str">
        <x:v>Role更新</x:v>
      </x:c>
      <x:c r="E50" s="37" t="str">
        <x:v>API</x:v>
      </x:c>
      <x:c r="F50" s="37" t="str">
        <x:v>Spring Boot</x:v>
      </x:c>
      <x:c r="G50" s="37" t="str">
        <x:v>詳細設計</x:v>
      </x:c>
      <x:c r="H50" s="37" t="str">
        <x:v>PG-03</x:v>
      </x:c>
      <x:c r="I50" s="37" t="str">
        <x:v>Project Leader</x:v>
      </x:c>
      <x:c r="J50" s="37" t="str">
        <x:v>-</x:v>
      </x:c>
      <x:c r="K50" s="37" t="n">
        <x:v>14</x:v>
      </x:c>
      <x:c r="L50" s="37" t="n">
        <x:v>2</x:v>
      </x:c>
      <x:c r="M50" s="37" t="n">
        <x:v>2</x:v>
      </x:c>
      <x:c r="N50" s="38" t="n">
        <x:v>46255</x:v>
      </x:c>
      <x:c r="O50" s="38" t="n">
        <x:v>46258</x:v>
      </x:c>
      <x:c r="P50" s="38"/>
      <x:c r="Q50" s="38"/>
      <x:c r="R50" s="37" t="str">
        <x:v>未着手</x:v>
      </x:c>
      <x:c r="S50" s="40" t="n">
        <x:f>IF(R50="完了",1,IF(R50="修正中",0.8,IF(R50="Review待ち",0.7,IF(R50="作業中",0.3,0))))</x:f>
        <x:v>0</x:v>
      </x:c>
      <x:c r="T50" s="37" t="str">
        <x:f>IF(AND(R50&lt;&gt;"完了",TODAY()&gt;O50),"遅延","")</x:f>
      </x:c>
      <x:c r="U50" s="37" t="str">
        <x:v>API-ROLE-004_Role更新詳細設計書.xlsx</x:v>
      </x:c>
      <x:c r="V50" s="37" t="str"/>
    </x:row>
    <x:row r="51">
      <x:c r="A51" s="37" t="str">
        <x:v>WP-025-DD</x:v>
      </x:c>
      <x:c r="B51" s="37" t="str">
        <x:v>WP-025</x:v>
      </x:c>
      <x:c r="C51" s="37" t="str">
        <x:v>API-ROLE-005</x:v>
      </x:c>
      <x:c r="D51" s="37" t="str">
        <x:v>Role状態変更</x:v>
      </x:c>
      <x:c r="E51" s="37" t="str">
        <x:v>API</x:v>
      </x:c>
      <x:c r="F51" s="37" t="str">
        <x:v>Spring Boot</x:v>
      </x:c>
      <x:c r="G51" s="37" t="str">
        <x:v>詳細設計</x:v>
      </x:c>
      <x:c r="H51" s="37" t="str">
        <x:v>PG-03</x:v>
      </x:c>
      <x:c r="I51" s="37" t="str">
        <x:v>Project Leader</x:v>
      </x:c>
      <x:c r="J51" s="37" t="str">
        <x:v>-</x:v>
      </x:c>
      <x:c r="K51" s="37" t="n">
        <x:v>14</x:v>
      </x:c>
      <x:c r="L51" s="37" t="n">
        <x:v>2</x:v>
      </x:c>
      <x:c r="M51" s="37" t="n">
        <x:v>2</x:v>
      </x:c>
      <x:c r="N51" s="38" t="n">
        <x:v>46259</x:v>
      </x:c>
      <x:c r="O51" s="38" t="n">
        <x:v>46260</x:v>
      </x:c>
      <x:c r="P51" s="38"/>
      <x:c r="Q51" s="38"/>
      <x:c r="R51" s="37" t="str">
        <x:v>未着手</x:v>
      </x:c>
      <x:c r="S51" s="40" t="n">
        <x:f>IF(R51="完了",1,IF(R51="修正中",0.8,IF(R51="Review待ち",0.7,IF(R51="作業中",0.3,0))))</x:f>
        <x:v>0</x:v>
      </x:c>
      <x:c r="T51" s="37" t="str">
        <x:f>IF(AND(R51&lt;&gt;"完了",TODAY()&gt;O51),"遅延","")</x:f>
      </x:c>
      <x:c r="U51" s="37" t="str">
        <x:v>API-ROLE-005_Role状態変更詳細設計書.xlsx</x:v>
      </x:c>
      <x:c r="V51" s="37" t="str"/>
    </x:row>
    <x:row r="52">
      <x:c r="A52" s="37" t="str">
        <x:v>WP-026-DD</x:v>
      </x:c>
      <x:c r="B52" s="37" t="str">
        <x:v>WP-026</x:v>
      </x:c>
      <x:c r="C52" s="37" t="str">
        <x:v>API-LOG-001</x:v>
      </x:c>
      <x:c r="D52" s="37" t="str">
        <x:v>操作Log検索</x:v>
      </x:c>
      <x:c r="E52" s="37" t="str">
        <x:v>API</x:v>
      </x:c>
      <x:c r="F52" s="37" t="str">
        <x:v>Spring Boot</x:v>
      </x:c>
      <x:c r="G52" s="37" t="str">
        <x:v>詳細設計</x:v>
      </x:c>
      <x:c r="H52" s="37" t="str">
        <x:v>PG-03</x:v>
      </x:c>
      <x:c r="I52" s="37" t="str">
        <x:v>Project Leader</x:v>
      </x:c>
      <x:c r="J52" s="37" t="str">
        <x:v>-</x:v>
      </x:c>
      <x:c r="K52" s="37" t="n">
        <x:v>7</x:v>
      </x:c>
      <x:c r="L52" s="37" t="n">
        <x:v>2</x:v>
      </x:c>
      <x:c r="M52" s="37" t="n">
        <x:v>1</x:v>
      </x:c>
      <x:c r="N52" s="38" t="n">
        <x:v>46261</x:v>
      </x:c>
      <x:c r="O52" s="38" t="n">
        <x:v>46261</x:v>
      </x:c>
      <x:c r="P52" s="38"/>
      <x:c r="Q52" s="38"/>
      <x:c r="R52" s="37" t="str">
        <x:v>未着手</x:v>
      </x:c>
      <x:c r="S52" s="40" t="n">
        <x:f>IF(R52="完了",1,IF(R52="修正中",0.8,IF(R52="Review待ち",0.7,IF(R52="作業中",0.3,0))))</x:f>
        <x:v>0</x:v>
      </x:c>
      <x:c r="T52" s="37" t="str">
        <x:f>IF(AND(R52&lt;&gt;"完了",TODAY()&gt;O52),"遅延","")</x:f>
      </x:c>
      <x:c r="U52" s="37" t="str">
        <x:v>API-LOG-001_操作Log検索詳細設計書.xlsx</x:v>
      </x:c>
      <x:c r="V52" s="37" t="str"/>
    </x:row>
    <x:row r="53">
      <x:c r="A53" s="37" t="str">
        <x:v>WP-027-DD</x:v>
      </x:c>
      <x:c r="B53" s="37" t="str">
        <x:v>WP-027</x:v>
      </x:c>
      <x:c r="C53" s="37" t="str">
        <x:v>API-LOG-002</x:v>
      </x:c>
      <x:c r="D53" s="37" t="str">
        <x:v>操作Log詳細</x:v>
      </x:c>
      <x:c r="E53" s="37" t="str">
        <x:v>API</x:v>
      </x:c>
      <x:c r="F53" s="37" t="str">
        <x:v>Spring Boot</x:v>
      </x:c>
      <x:c r="G53" s="37" t="str">
        <x:v>詳細設計</x:v>
      </x:c>
      <x:c r="H53" s="37" t="str">
        <x:v>PG-03</x:v>
      </x:c>
      <x:c r="I53" s="37" t="str">
        <x:v>Project Leader</x:v>
      </x:c>
      <x:c r="J53" s="37" t="str">
        <x:v>-</x:v>
      </x:c>
      <x:c r="K53" s="37" t="n">
        <x:v>7</x:v>
      </x:c>
      <x:c r="L53" s="37" t="n">
        <x:v>2</x:v>
      </x:c>
      <x:c r="M53" s="37" t="n">
        <x:v>1</x:v>
      </x:c>
      <x:c r="N53" s="38" t="n">
        <x:v>46262</x:v>
      </x:c>
      <x:c r="O53" s="38" t="n">
        <x:v>46262</x:v>
      </x:c>
      <x:c r="P53" s="38"/>
      <x:c r="Q53" s="38"/>
      <x:c r="R53" s="37" t="str">
        <x:v>未着手</x:v>
      </x:c>
      <x:c r="S53" s="40" t="n">
        <x:f>IF(R53="完了",1,IF(R53="修正中",0.8,IF(R53="Review待ち",0.7,IF(R53="作業中",0.3,0))))</x:f>
        <x:v>0</x:v>
      </x:c>
      <x:c r="T53" s="37" t="str">
        <x:f>IF(AND(R53&lt;&gt;"完了",TODAY()&gt;O53),"遅延","")</x:f>
      </x:c>
      <x:c r="U53" s="37" t="str">
        <x:v>API-LOG-002_操作Log詳細詳細設計書.xlsx</x:v>
      </x:c>
      <x:c r="V53" s="37" t="str"/>
    </x:row>
    <x:row r="54">
      <x:c r="A54" s="37" t="str">
        <x:v>WP-040-DD</x:v>
      </x:c>
      <x:c r="B54" s="37" t="str">
        <x:v>WP-040</x:v>
      </x:c>
      <x:c r="C54" s="37" t="str">
        <x:v>API-PRJ-001</x:v>
      </x:c>
      <x:c r="D54" s="37" t="str">
        <x:v>PJ検索</x:v>
      </x:c>
      <x:c r="E54" s="37" t="str">
        <x:v>API</x:v>
      </x:c>
      <x:c r="F54" s="37" t="str">
        <x:v>Spring Boot</x:v>
      </x:c>
      <x:c r="G54" s="37" t="str">
        <x:v>詳細設計</x:v>
      </x:c>
      <x:c r="H54" s="37" t="str">
        <x:v>PG-03</x:v>
      </x:c>
      <x:c r="I54" s="37" t="str">
        <x:v>Project Leader</x:v>
      </x:c>
      <x:c r="J54" s="37" t="str">
        <x:v>-</x:v>
      </x:c>
      <x:c r="K54" s="37" t="n">
        <x:v>7</x:v>
      </x:c>
      <x:c r="L54" s="37" t="n">
        <x:v>2</x:v>
      </x:c>
      <x:c r="M54" s="37" t="n">
        <x:v>1</x:v>
      </x:c>
      <x:c r="N54" s="38" t="n">
        <x:v>46265</x:v>
      </x:c>
      <x:c r="O54" s="38" t="n">
        <x:v>46265</x:v>
      </x:c>
      <x:c r="P54" s="38"/>
      <x:c r="Q54" s="38"/>
      <x:c r="R54" s="37" t="str">
        <x:v>未着手</x:v>
      </x:c>
      <x:c r="S54" s="40" t="n">
        <x:f>IF(R54="完了",1,IF(R54="修正中",0.8,IF(R54="Review待ち",0.7,IF(R54="作業中",0.3,0))))</x:f>
        <x:v>0</x:v>
      </x:c>
      <x:c r="T54" s="37" t="str">
        <x:f>IF(AND(R54&lt;&gt;"完了",TODAY()&gt;O54),"遅延","")</x:f>
      </x:c>
      <x:c r="U54" s="37" t="str">
        <x:v>API-PRJ-001_PJ検索詳細設計書.xlsx</x:v>
      </x:c>
      <x:c r="V54" s="37" t="str"/>
    </x:row>
    <x:row r="55">
      <x:c r="A55" s="37" t="str">
        <x:v>WP-041-DD</x:v>
      </x:c>
      <x:c r="B55" s="37" t="str">
        <x:v>WP-041</x:v>
      </x:c>
      <x:c r="C55" s="37" t="str">
        <x:v>API-PRJ-002</x:v>
      </x:c>
      <x:c r="D55" s="37" t="str">
        <x:v>PJ詳細</x:v>
      </x:c>
      <x:c r="E55" s="37" t="str">
        <x:v>API</x:v>
      </x:c>
      <x:c r="F55" s="37" t="str">
        <x:v>Spring Boot</x:v>
      </x:c>
      <x:c r="G55" s="37" t="str">
        <x:v>詳細設計</x:v>
      </x:c>
      <x:c r="H55" s="37" t="str">
        <x:v>PG-03</x:v>
      </x:c>
      <x:c r="I55" s="37" t="str">
        <x:v>Project Leader</x:v>
      </x:c>
      <x:c r="J55" s="37" t="str">
        <x:v>-</x:v>
      </x:c>
      <x:c r="K55" s="37" t="n">
        <x:v>7</x:v>
      </x:c>
      <x:c r="L55" s="37" t="n">
        <x:v>2</x:v>
      </x:c>
      <x:c r="M55" s="37" t="n">
        <x:v>1</x:v>
      </x:c>
      <x:c r="N55" s="38" t="n">
        <x:v>46266</x:v>
      </x:c>
      <x:c r="O55" s="38" t="n">
        <x:v>46266</x:v>
      </x:c>
      <x:c r="P55" s="38"/>
      <x:c r="Q55" s="38"/>
      <x:c r="R55" s="37" t="str">
        <x:v>未着手</x:v>
      </x:c>
      <x:c r="S55" s="40" t="n">
        <x:f>IF(R55="完了",1,IF(R55="修正中",0.8,IF(R55="Review待ち",0.7,IF(R55="作業中",0.3,0))))</x:f>
        <x:v>0</x:v>
      </x:c>
      <x:c r="T55" s="37" t="str">
        <x:f>IF(AND(R55&lt;&gt;"完了",TODAY()&gt;O55),"遅延","")</x:f>
      </x:c>
      <x:c r="U55" s="37" t="str">
        <x:v>API-PRJ-002_PJ詳細詳細設計書.xlsx</x:v>
      </x:c>
      <x:c r="V55" s="37" t="str"/>
    </x:row>
    <x:row r="56">
      <x:c r="A56" s="37" t="str">
        <x:v>WP-042-DD</x:v>
      </x:c>
      <x:c r="B56" s="37" t="str">
        <x:v>WP-042</x:v>
      </x:c>
      <x:c r="C56" s="37" t="str">
        <x:v>API-PRJ-003</x:v>
      </x:c>
      <x:c r="D56" s="37" t="str">
        <x:v>PJ登録</x:v>
      </x:c>
      <x:c r="E56" s="37" t="str">
        <x:v>API</x:v>
      </x:c>
      <x:c r="F56" s="37" t="str">
        <x:v>Spring Boot</x:v>
      </x:c>
      <x:c r="G56" s="37" t="str">
        <x:v>詳細設計</x:v>
      </x:c>
      <x:c r="H56" s="37" t="str">
        <x:v>PG-03</x:v>
      </x:c>
      <x:c r="I56" s="37" t="str">
        <x:v>Project Leader</x:v>
      </x:c>
      <x:c r="J56" s="37" t="str">
        <x:v>-</x:v>
      </x:c>
      <x:c r="K56" s="37" t="n">
        <x:v>14</x:v>
      </x:c>
      <x:c r="L56" s="37" t="n">
        <x:v>2</x:v>
      </x:c>
      <x:c r="M56" s="37" t="n">
        <x:v>2</x:v>
      </x:c>
      <x:c r="N56" s="38" t="n">
        <x:v>46267</x:v>
      </x:c>
      <x:c r="O56" s="38" t="n">
        <x:v>46268</x:v>
      </x:c>
      <x:c r="P56" s="38"/>
      <x:c r="Q56" s="38"/>
      <x:c r="R56" s="37" t="str">
        <x:v>未着手</x:v>
      </x:c>
      <x:c r="S56" s="40" t="n">
        <x:f>IF(R56="完了",1,IF(R56="修正中",0.8,IF(R56="Review待ち",0.7,IF(R56="作業中",0.3,0))))</x:f>
        <x:v>0</x:v>
      </x:c>
      <x:c r="T56" s="37" t="str">
        <x:f>IF(AND(R56&lt;&gt;"完了",TODAY()&gt;O56),"遅延","")</x:f>
      </x:c>
      <x:c r="U56" s="37" t="str">
        <x:v>API-PRJ-003_PJ登録詳細設計書.xlsx</x:v>
      </x:c>
      <x:c r="V56" s="37" t="str"/>
    </x:row>
    <x:row r="57">
      <x:c r="A57" s="37" t="str">
        <x:v>WP-043-DD</x:v>
      </x:c>
      <x:c r="B57" s="37" t="str">
        <x:v>WP-043</x:v>
      </x:c>
      <x:c r="C57" s="37" t="str">
        <x:v>API-PRJ-004</x:v>
      </x:c>
      <x:c r="D57" s="37" t="str">
        <x:v>PJ更新</x:v>
      </x:c>
      <x:c r="E57" s="37" t="str">
        <x:v>API</x:v>
      </x:c>
      <x:c r="F57" s="37" t="str">
        <x:v>Spring Boot</x:v>
      </x:c>
      <x:c r="G57" s="37" t="str">
        <x:v>詳細設計</x:v>
      </x:c>
      <x:c r="H57" s="37" t="str">
        <x:v>PG-03</x:v>
      </x:c>
      <x:c r="I57" s="37" t="str">
        <x:v>Project Leader</x:v>
      </x:c>
      <x:c r="J57" s="37" t="str">
        <x:v>-</x:v>
      </x:c>
      <x:c r="K57" s="37" t="n">
        <x:v>14</x:v>
      </x:c>
      <x:c r="L57" s="37" t="n">
        <x:v>2</x:v>
      </x:c>
      <x:c r="M57" s="37" t="n">
        <x:v>2</x:v>
      </x:c>
      <x:c r="N57" s="38" t="n">
        <x:v>46269</x:v>
      </x:c>
      <x:c r="O57" s="38" t="n">
        <x:v>46272</x:v>
      </x:c>
      <x:c r="P57" s="38"/>
      <x:c r="Q57" s="38"/>
      <x:c r="R57" s="37" t="str">
        <x:v>未着手</x:v>
      </x:c>
      <x:c r="S57" s="40" t="n">
        <x:f>IF(R57="完了",1,IF(R57="修正中",0.8,IF(R57="Review待ち",0.7,IF(R57="作業中",0.3,0))))</x:f>
        <x:v>0</x:v>
      </x:c>
      <x:c r="T57" s="37" t="str">
        <x:f>IF(AND(R57&lt;&gt;"完了",TODAY()&gt;O57),"遅延","")</x:f>
      </x:c>
      <x:c r="U57" s="37" t="str">
        <x:v>API-PRJ-004_PJ更新詳細設計書.xlsx</x:v>
      </x:c>
      <x:c r="V57" s="37" t="str"/>
    </x:row>
    <x:row r="58">
      <x:c r="A58" s="37" t="str">
        <x:v>WP-044-DD</x:v>
      </x:c>
      <x:c r="B58" s="37" t="str">
        <x:v>WP-044</x:v>
      </x:c>
      <x:c r="C58" s="37" t="str">
        <x:v>API-PRJ-005</x:v>
      </x:c>
      <x:c r="D58" s="37" t="str">
        <x:v>PJ状態変更</x:v>
      </x:c>
      <x:c r="E58" s="37" t="str">
        <x:v>API</x:v>
      </x:c>
      <x:c r="F58" s="37" t="str">
        <x:v>Spring Boot</x:v>
      </x:c>
      <x:c r="G58" s="37" t="str">
        <x:v>詳細設計</x:v>
      </x:c>
      <x:c r="H58" s="37" t="str">
        <x:v>PG-03</x:v>
      </x:c>
      <x:c r="I58" s="37" t="str">
        <x:v>Project Leader</x:v>
      </x:c>
      <x:c r="J58" s="37" t="str">
        <x:v>-</x:v>
      </x:c>
      <x:c r="K58" s="37" t="n">
        <x:v>14</x:v>
      </x:c>
      <x:c r="L58" s="37" t="n">
        <x:v>2</x:v>
      </x:c>
      <x:c r="M58" s="37" t="n">
        <x:v>2</x:v>
      </x:c>
      <x:c r="N58" s="38" t="n">
        <x:v>46273</x:v>
      </x:c>
      <x:c r="O58" s="38" t="n">
        <x:v>46274</x:v>
      </x:c>
      <x:c r="P58" s="38"/>
      <x:c r="Q58" s="38"/>
      <x:c r="R58" s="37" t="str">
        <x:v>未着手</x:v>
      </x:c>
      <x:c r="S58" s="40" t="n">
        <x:f>IF(R58="完了",1,IF(R58="修正中",0.8,IF(R58="Review待ち",0.7,IF(R58="作業中",0.3,0))))</x:f>
        <x:v>0</x:v>
      </x:c>
      <x:c r="T58" s="37" t="str">
        <x:f>IF(AND(R58&lt;&gt;"完了",TODAY()&gt;O58),"遅延","")</x:f>
      </x:c>
      <x:c r="U58" s="37" t="str">
        <x:v>API-PRJ-005_PJ状態変更詳細設計書.xlsx</x:v>
      </x:c>
      <x:c r="V58" s="37" t="str"/>
    </x:row>
    <x:row r="59">
      <x:c r="A59" s="37" t="str">
        <x:v>WP-045-DD</x:v>
      </x:c>
      <x:c r="B59" s="37" t="str">
        <x:v>WP-045</x:v>
      </x:c>
      <x:c r="C59" s="37" t="str">
        <x:v>API-PRJ-006</x:v>
      </x:c>
      <x:c r="D59" s="37" t="str">
        <x:v>Member検索</x:v>
      </x:c>
      <x:c r="E59" s="37" t="str">
        <x:v>API</x:v>
      </x:c>
      <x:c r="F59" s="37" t="str">
        <x:v>Spring Boot</x:v>
      </x:c>
      <x:c r="G59" s="37" t="str">
        <x:v>詳細設計</x:v>
      </x:c>
      <x:c r="H59" s="37" t="str">
        <x:v>PG-03</x:v>
      </x:c>
      <x:c r="I59" s="37" t="str">
        <x:v>Project Leader</x:v>
      </x:c>
      <x:c r="J59" s="37" t="str">
        <x:v>-</x:v>
      </x:c>
      <x:c r="K59" s="37" t="n">
        <x:v>7</x:v>
      </x:c>
      <x:c r="L59" s="37" t="n">
        <x:v>2</x:v>
      </x:c>
      <x:c r="M59" s="37" t="n">
        <x:v>1</x:v>
      </x:c>
      <x:c r="N59" s="38" t="n">
        <x:v>46275</x:v>
      </x:c>
      <x:c r="O59" s="38" t="n">
        <x:v>46275</x:v>
      </x:c>
      <x:c r="P59" s="38"/>
      <x:c r="Q59" s="38"/>
      <x:c r="R59" s="37" t="str">
        <x:v>未着手</x:v>
      </x:c>
      <x:c r="S59" s="40" t="n">
        <x:f>IF(R59="完了",1,IF(R59="修正中",0.8,IF(R59="Review待ち",0.7,IF(R59="作業中",0.3,0))))</x:f>
        <x:v>0</x:v>
      </x:c>
      <x:c r="T59" s="37" t="str">
        <x:f>IF(AND(R59&lt;&gt;"完了",TODAY()&gt;O59),"遅延","")</x:f>
      </x:c>
      <x:c r="U59" s="37" t="str">
        <x:v>API-PRJ-006_Member検索詳細設計書.xlsx</x:v>
      </x:c>
      <x:c r="V59" s="37" t="str"/>
    </x:row>
    <x:row r="60">
      <x:c r="A60" s="37" t="str">
        <x:v>WP-046-DD</x:v>
      </x:c>
      <x:c r="B60" s="37" t="str">
        <x:v>WP-046</x:v>
      </x:c>
      <x:c r="C60" s="37" t="str">
        <x:v>API-PRJ-007</x:v>
      </x:c>
      <x:c r="D60" s="37" t="str">
        <x:v>Member追加</x:v>
      </x:c>
      <x:c r="E60" s="37" t="str">
        <x:v>API</x:v>
      </x:c>
      <x:c r="F60" s="37" t="str">
        <x:v>Spring Boot</x:v>
      </x:c>
      <x:c r="G60" s="37" t="str">
        <x:v>詳細設計</x:v>
      </x:c>
      <x:c r="H60" s="37" t="str">
        <x:v>PG-03</x:v>
      </x:c>
      <x:c r="I60" s="37" t="str">
        <x:v>Project Leader</x:v>
      </x:c>
      <x:c r="J60" s="37" t="str">
        <x:v>-</x:v>
      </x:c>
      <x:c r="K60" s="37" t="n">
        <x:v>14</x:v>
      </x:c>
      <x:c r="L60" s="37" t="n">
        <x:v>2</x:v>
      </x:c>
      <x:c r="M60" s="37" t="n">
        <x:v>2</x:v>
      </x:c>
      <x:c r="N60" s="38" t="n">
        <x:v>46276</x:v>
      </x:c>
      <x:c r="O60" s="38" t="n">
        <x:v>46279</x:v>
      </x:c>
      <x:c r="P60" s="38"/>
      <x:c r="Q60" s="38"/>
      <x:c r="R60" s="37" t="str">
        <x:v>未着手</x:v>
      </x:c>
      <x:c r="S60" s="40" t="n">
        <x:f>IF(R60="完了",1,IF(R60="修正中",0.8,IF(R60="Review待ち",0.7,IF(R60="作業中",0.3,0))))</x:f>
        <x:v>0</x:v>
      </x:c>
      <x:c r="T60" s="37" t="str">
        <x:f>IF(AND(R60&lt;&gt;"完了",TODAY()&gt;O60),"遅延","")</x:f>
      </x:c>
      <x:c r="U60" s="37" t="str">
        <x:v>API-PRJ-007_Member追加詳細設計書.xlsx</x:v>
      </x:c>
      <x:c r="V60" s="37" t="str"/>
    </x:row>
    <x:row r="61">
      <x:c r="A61" s="37" t="str">
        <x:v>WP-047-DD</x:v>
      </x:c>
      <x:c r="B61" s="37" t="str">
        <x:v>WP-047</x:v>
      </x:c>
      <x:c r="C61" s="37" t="str">
        <x:v>API-PRJ-008</x:v>
      </x:c>
      <x:c r="D61" s="37" t="str">
        <x:v>Member削除</x:v>
      </x:c>
      <x:c r="E61" s="37" t="str">
        <x:v>API</x:v>
      </x:c>
      <x:c r="F61" s="37" t="str">
        <x:v>Spring Boot</x:v>
      </x:c>
      <x:c r="G61" s="37" t="str">
        <x:v>詳細設計</x:v>
      </x:c>
      <x:c r="H61" s="37" t="str">
        <x:v>PG-03</x:v>
      </x:c>
      <x:c r="I61" s="37" t="str">
        <x:v>Project Leader</x:v>
      </x:c>
      <x:c r="J61" s="37" t="str">
        <x:v>-</x:v>
      </x:c>
      <x:c r="K61" s="37" t="n">
        <x:v>14</x:v>
      </x:c>
      <x:c r="L61" s="37" t="n">
        <x:v>2</x:v>
      </x:c>
      <x:c r="M61" s="37" t="n">
        <x:v>2</x:v>
      </x:c>
      <x:c r="N61" s="38" t="n">
        <x:v>46280</x:v>
      </x:c>
      <x:c r="O61" s="38" t="n">
        <x:v>46281</x:v>
      </x:c>
      <x:c r="P61" s="38"/>
      <x:c r="Q61" s="38"/>
      <x:c r="R61" s="37" t="str">
        <x:v>未着手</x:v>
      </x:c>
      <x:c r="S61" s="40" t="n">
        <x:f>IF(R61="完了",1,IF(R61="修正中",0.8,IF(R61="Review待ち",0.7,IF(R61="作業中",0.3,0))))</x:f>
        <x:v>0</x:v>
      </x:c>
      <x:c r="T61" s="37" t="str">
        <x:f>IF(AND(R61&lt;&gt;"完了",TODAY()&gt;O61),"遅延","")</x:f>
      </x:c>
      <x:c r="U61" s="37" t="str">
        <x:v>API-PRJ-008_Member削除詳細設計書.xlsx</x:v>
      </x:c>
      <x:c r="V61" s="37" t="str"/>
    </x:row>
    <x:row r="62">
      <x:c r="A62" s="37" t="str">
        <x:v>WP-076-DD</x:v>
      </x:c>
      <x:c r="B62" s="37" t="str">
        <x:v>WP-076</x:v>
      </x:c>
      <x:c r="C62" s="37" t="str">
        <x:v>SCR-008-REACT</x:v>
      </x:c>
      <x:c r="D62" s="37" t="str">
        <x:v>プロジェクト一覧画面（React）</x:v>
      </x:c>
      <x:c r="E62" s="37" t="str">
        <x:v>画面</x:v>
      </x:c>
      <x:c r="F62" s="37" t="str">
        <x:v>React</x:v>
      </x:c>
      <x:c r="G62" s="37" t="str">
        <x:v>詳細設計</x:v>
      </x:c>
      <x:c r="H62" s="37" t="str">
        <x:v>PG-03</x:v>
      </x:c>
      <x:c r="I62" s="37" t="str">
        <x:v>Project Leader</x:v>
      </x:c>
      <x:c r="J62" s="37" t="str">
        <x:v>-</x:v>
      </x:c>
      <x:c r="K62" s="37" t="n">
        <x:v>7</x:v>
      </x:c>
      <x:c r="L62" s="37" t="n">
        <x:v>2</x:v>
      </x:c>
      <x:c r="M62" s="37" t="n">
        <x:v>1</x:v>
      </x:c>
      <x:c r="N62" s="38" t="n">
        <x:v>46282</x:v>
      </x:c>
      <x:c r="O62" s="38" t="n">
        <x:v>46282</x:v>
      </x:c>
      <x:c r="P62" s="38"/>
      <x:c r="Q62" s="38"/>
      <x:c r="R62" s="37" t="str">
        <x:v>未着手</x:v>
      </x:c>
      <x:c r="S62" s="40" t="n">
        <x:f>IF(R62="完了",1,IF(R62="修正中",0.8,IF(R62="Review待ち",0.7,IF(R62="作業中",0.3,0))))</x:f>
        <x:v>0</x:v>
      </x:c>
      <x:c r="T62" s="37" t="str">
        <x:f>IF(AND(R62&lt;&gt;"完了",TODAY()&gt;O62),"遅延","")</x:f>
      </x:c>
      <x:c r="U62" s="37" t="str">
        <x:v>SCR-008-REACT_プロジェクト一覧画面（React）詳細設計書.xlsx</x:v>
      </x:c>
      <x:c r="V62" s="37" t="str"/>
    </x:row>
    <x:row r="63">
      <x:c r="A63" s="37" t="str">
        <x:v>WP-077-DD</x:v>
      </x:c>
      <x:c r="B63" s="37" t="str">
        <x:v>WP-077</x:v>
      </x:c>
      <x:c r="C63" s="37" t="str">
        <x:v>SCR-009-REACT</x:v>
      </x:c>
      <x:c r="D63" s="37" t="str">
        <x:v>プロジェクト登録画面（React）</x:v>
      </x:c>
      <x:c r="E63" s="37" t="str">
        <x:v>画面</x:v>
      </x:c>
      <x:c r="F63" s="37" t="str">
        <x:v>React</x:v>
      </x:c>
      <x:c r="G63" s="37" t="str">
        <x:v>詳細設計</x:v>
      </x:c>
      <x:c r="H63" s="37" t="str">
        <x:v>PG-03</x:v>
      </x:c>
      <x:c r="I63" s="37" t="str">
        <x:v>Project Leader</x:v>
      </x:c>
      <x:c r="J63" s="37" t="str">
        <x:v>-</x:v>
      </x:c>
      <x:c r="K63" s="37" t="n">
        <x:v>14</x:v>
      </x:c>
      <x:c r="L63" s="37" t="n">
        <x:v>2</x:v>
      </x:c>
      <x:c r="M63" s="37" t="n">
        <x:v>2</x:v>
      </x:c>
      <x:c r="N63" s="38" t="n">
        <x:v>46283</x:v>
      </x:c>
      <x:c r="O63" s="38" t="n">
        <x:v>46289</x:v>
      </x:c>
      <x:c r="P63" s="38"/>
      <x:c r="Q63" s="38"/>
      <x:c r="R63" s="37" t="str">
        <x:v>未着手</x:v>
      </x:c>
      <x:c r="S63" s="40" t="n">
        <x:f>IF(R63="完了",1,IF(R63="修正中",0.8,IF(R63="Review待ち",0.7,IF(R63="作業中",0.3,0))))</x:f>
        <x:v>0</x:v>
      </x:c>
      <x:c r="T63" s="37" t="str">
        <x:f>IF(AND(R63&lt;&gt;"完了",TODAY()&gt;O63),"遅延","")</x:f>
      </x:c>
      <x:c r="U63" s="37" t="str">
        <x:v>SCR-009-REACT_プロジェクト登録画面（React）詳細設計書.xlsx</x:v>
      </x:c>
      <x:c r="V63" s="37" t="str"/>
    </x:row>
    <x:row r="64">
      <x:c r="A64" s="37" t="str">
        <x:v>WP-078-DD</x:v>
      </x:c>
      <x:c r="B64" s="37" t="str">
        <x:v>WP-078</x:v>
      </x:c>
      <x:c r="C64" s="37" t="str">
        <x:v>SCR-010-REACT</x:v>
      </x:c>
      <x:c r="D64" s="37" t="str">
        <x:v>プロジェクト編集画面（React）</x:v>
      </x:c>
      <x:c r="E64" s="37" t="str">
        <x:v>画面</x:v>
      </x:c>
      <x:c r="F64" s="37" t="str">
        <x:v>React</x:v>
      </x:c>
      <x:c r="G64" s="37" t="str">
        <x:v>詳細設計</x:v>
      </x:c>
      <x:c r="H64" s="37" t="str">
        <x:v>PG-03</x:v>
      </x:c>
      <x:c r="I64" s="37" t="str">
        <x:v>Project Leader</x:v>
      </x:c>
      <x:c r="J64" s="37" t="str">
        <x:v>-</x:v>
      </x:c>
      <x:c r="K64" s="37" t="n">
        <x:v>14</x:v>
      </x:c>
      <x:c r="L64" s="37" t="n">
        <x:v>2</x:v>
      </x:c>
      <x:c r="M64" s="37" t="n">
        <x:v>2</x:v>
      </x:c>
      <x:c r="N64" s="38" t="n">
        <x:v>46290</x:v>
      </x:c>
      <x:c r="O64" s="38" t="n">
        <x:v>46293</x:v>
      </x:c>
      <x:c r="P64" s="38"/>
      <x:c r="Q64" s="38"/>
      <x:c r="R64" s="37" t="str">
        <x:v>未着手</x:v>
      </x:c>
      <x:c r="S64" s="40" t="n">
        <x:f>IF(R64="完了",1,IF(R64="修正中",0.8,IF(R64="Review待ち",0.7,IF(R64="作業中",0.3,0))))</x:f>
        <x:v>0</x:v>
      </x:c>
      <x:c r="T64" s="37" t="str">
        <x:f>IF(AND(R64&lt;&gt;"完了",TODAY()&gt;O64),"遅延","")</x:f>
      </x:c>
      <x:c r="U64" s="37" t="str">
        <x:v>SCR-010-REACT_プロジェクト編集画面（React）詳細設計書.xlsx</x:v>
      </x:c>
      <x:c r="V64" s="37" t="str"/>
    </x:row>
    <x:row r="65">
      <x:c r="A65" s="37" t="str">
        <x:v>WP-079-DD</x:v>
      </x:c>
      <x:c r="B65" s="37" t="str">
        <x:v>WP-079</x:v>
      </x:c>
      <x:c r="C65" s="37" t="str">
        <x:v>SCR-011-REACT</x:v>
      </x:c>
      <x:c r="D65" s="37" t="str">
        <x:v>プロジェクト詳細画面（React）</x:v>
      </x:c>
      <x:c r="E65" s="37" t="str">
        <x:v>画面</x:v>
      </x:c>
      <x:c r="F65" s="37" t="str">
        <x:v>React</x:v>
      </x:c>
      <x:c r="G65" s="37" t="str">
        <x:v>詳細設計</x:v>
      </x:c>
      <x:c r="H65" s="37" t="str">
        <x:v>PG-03</x:v>
      </x:c>
      <x:c r="I65" s="37" t="str">
        <x:v>Project Leader</x:v>
      </x:c>
      <x:c r="J65" s="37" t="str">
        <x:v>-</x:v>
      </x:c>
      <x:c r="K65" s="37" t="n">
        <x:v>21</x:v>
      </x:c>
      <x:c r="L65" s="37" t="n">
        <x:v>2</x:v>
      </x:c>
      <x:c r="M65" s="37" t="n">
        <x:v>3</x:v>
      </x:c>
      <x:c r="N65" s="38" t="n">
        <x:v>46294</x:v>
      </x:c>
      <x:c r="O65" s="38" t="n">
        <x:v>46296</x:v>
      </x:c>
      <x:c r="P65" s="38"/>
      <x:c r="Q65" s="38"/>
      <x:c r="R65" s="37" t="str">
        <x:v>未着手</x:v>
      </x:c>
      <x:c r="S65" s="40" t="n">
        <x:f>IF(R65="完了",1,IF(R65="修正中",0.8,IF(R65="Review待ち",0.7,IF(R65="作業中",0.3,0))))</x:f>
        <x:v>0</x:v>
      </x:c>
      <x:c r="T65" s="37" t="str">
        <x:f>IF(AND(R65&lt;&gt;"完了",TODAY()&gt;O65),"遅延","")</x:f>
      </x:c>
      <x:c r="U65" s="37" t="str">
        <x:v>SCR-011-REACT_プロジェクト詳細画面（React）詳細設計書.xlsx</x:v>
      </x:c>
      <x:c r="V65" s="37" t="str"/>
    </x:row>
    <x:row r="66">
      <x:c r="A66" s="37" t="str">
        <x:v>WP-080-DD</x:v>
      </x:c>
      <x:c r="B66" s="37" t="str">
        <x:v>WP-080</x:v>
      </x:c>
      <x:c r="C66" s="37" t="str">
        <x:v>SCR-012-REACT</x:v>
      </x:c>
      <x:c r="D66" s="37" t="str">
        <x:v>プロジェクトメンバー管理画面（React）</x:v>
      </x:c>
      <x:c r="E66" s="37" t="str">
        <x:v>画面</x:v>
      </x:c>
      <x:c r="F66" s="37" t="str">
        <x:v>React</x:v>
      </x:c>
      <x:c r="G66" s="37" t="str">
        <x:v>詳細設計</x:v>
      </x:c>
      <x:c r="H66" s="37" t="str">
        <x:v>PG-03</x:v>
      </x:c>
      <x:c r="I66" s="37" t="str">
        <x:v>Project Leader</x:v>
      </x:c>
      <x:c r="J66" s="37" t="str">
        <x:v>-</x:v>
      </x:c>
      <x:c r="K66" s="37" t="n">
        <x:v>21</x:v>
      </x:c>
      <x:c r="L66" s="37" t="n">
        <x:v>2</x:v>
      </x:c>
      <x:c r="M66" s="37" t="n">
        <x:v>3</x:v>
      </x:c>
      <x:c r="N66" s="38" t="n">
        <x:v>46297</x:v>
      </x:c>
      <x:c r="O66" s="38" t="n">
        <x:v>46301</x:v>
      </x:c>
      <x:c r="P66" s="38"/>
      <x:c r="Q66" s="38"/>
      <x:c r="R66" s="37" t="str">
        <x:v>未着手</x:v>
      </x:c>
      <x:c r="S66" s="40" t="n">
        <x:f>IF(R66="完了",1,IF(R66="修正中",0.8,IF(R66="Review待ち",0.7,IF(R66="作業中",0.3,0))))</x:f>
        <x:v>0</x:v>
      </x:c>
      <x:c r="T66" s="37" t="str">
        <x:f>IF(AND(R66&lt;&gt;"完了",TODAY()&gt;O66),"遅延","")</x:f>
      </x:c>
      <x:c r="U66" s="37" t="str">
        <x:v>SCR-012-REACT_プロジェクトメンバー管理画面（React）詳細設計書.xlsx</x:v>
      </x:c>
      <x:c r="V66" s="37" t="str"/>
    </x:row>
    <x:row r="67">
      <x:c r="A67" s="37" t="str">
        <x:v>WP-092-DD</x:v>
      </x:c>
      <x:c r="B67" s="37" t="str">
        <x:v>WP-092</x:v>
      </x:c>
      <x:c r="C67" s="37" t="str">
        <x:v>SCR-024-REACT</x:v>
      </x:c>
      <x:c r="D67" s="37" t="str">
        <x:v>ロール管理画面（React）</x:v>
      </x:c>
      <x:c r="E67" s="37" t="str">
        <x:v>画面</x:v>
      </x:c>
      <x:c r="F67" s="37" t="str">
        <x:v>React</x:v>
      </x:c>
      <x:c r="G67" s="37" t="str">
        <x:v>詳細設計</x:v>
      </x:c>
      <x:c r="H67" s="37" t="str">
        <x:v>PG-03</x:v>
      </x:c>
      <x:c r="I67" s="37" t="str">
        <x:v>Project Leader</x:v>
      </x:c>
      <x:c r="J67" s="37" t="str">
        <x:v>-</x:v>
      </x:c>
      <x:c r="K67" s="37" t="n">
        <x:v>21</x:v>
      </x:c>
      <x:c r="L67" s="37" t="n">
        <x:v>2</x:v>
      </x:c>
      <x:c r="M67" s="37" t="n">
        <x:v>3</x:v>
      </x:c>
      <x:c r="N67" s="38" t="n">
        <x:v>46302</x:v>
      </x:c>
      <x:c r="O67" s="38" t="n">
        <x:v>46304</x:v>
      </x:c>
      <x:c r="P67" s="38"/>
      <x:c r="Q67" s="38"/>
      <x:c r="R67" s="37" t="str">
        <x:v>未着手</x:v>
      </x:c>
      <x:c r="S67" s="40" t="n">
        <x:f>IF(R67="完了",1,IF(R67="修正中",0.8,IF(R67="Review待ち",0.7,IF(R67="作業中",0.3,0))))</x:f>
        <x:v>0</x:v>
      </x:c>
      <x:c r="T67" s="37" t="str">
        <x:f>IF(AND(R67&lt;&gt;"完了",TODAY()&gt;O67),"遅延","")</x:f>
      </x:c>
      <x:c r="U67" s="37" t="str">
        <x:v>SCR-024-REACT_ロール管理画面（React）詳細設計書.xlsx</x:v>
      </x:c>
      <x:c r="V67" s="37" t="str"/>
    </x:row>
    <x:row r="68">
      <x:c r="A68" s="37" t="str">
        <x:v>WP-005-DD</x:v>
      </x:c>
      <x:c r="B68" s="37" t="str">
        <x:v>WP-005</x:v>
      </x:c>
      <x:c r="C68" s="37" t="str">
        <x:v>COM-FILE-001</x:v>
      </x:c>
      <x:c r="D68" s="37" t="str">
        <x:v>File共通処理</x:v>
      </x:c>
      <x:c r="E68" s="37" t="str">
        <x:v>共通</x:v>
      </x:c>
      <x:c r="F68" s="37" t="str">
        <x:v>Backend/共通</x:v>
      </x:c>
      <x:c r="G68" s="37" t="str">
        <x:v>詳細設計</x:v>
      </x:c>
      <x:c r="H68" s="37" t="str">
        <x:v>PG-04</x:v>
      </x:c>
      <x:c r="I68" s="37" t="str">
        <x:v>Project Leader</x:v>
      </x:c>
      <x:c r="J68" s="37" t="str">
        <x:v>-</x:v>
      </x:c>
      <x:c r="K68" s="37" t="n">
        <x:v>21</x:v>
      </x:c>
      <x:c r="L68" s="37" t="n">
        <x:v>2</x:v>
      </x:c>
      <x:c r="M68" s="37" t="n">
        <x:v>3</x:v>
      </x:c>
      <x:c r="N68" s="38" t="n">
        <x:v>46247</x:v>
      </x:c>
      <x:c r="O68" s="38" t="n">
        <x:v>46251</x:v>
      </x:c>
      <x:c r="P68" s="38"/>
      <x:c r="Q68" s="38"/>
      <x:c r="R68" s="37" t="str">
        <x:v>未着手</x:v>
      </x:c>
      <x:c r="S68" s="40" t="n">
        <x:f>IF(R68="完了",1,IF(R68="修正中",0.8,IF(R68="Review待ち",0.7,IF(R68="作業中",0.3,0))))</x:f>
        <x:v>0</x:v>
      </x:c>
      <x:c r="T68" s="37" t="str">
        <x:f>IF(AND(R68&lt;&gt;"完了",TODAY()&gt;O68),"遅延","")</x:f>
      </x:c>
      <x:c r="U68" s="37" t="str">
        <x:v>COM-FILE-001_File共通処理詳細設計書.xlsx</x:v>
      </x:c>
      <x:c r="V68" s="37" t="str"/>
    </x:row>
    <x:row r="69">
      <x:c r="A69" s="37" t="str">
        <x:v>WP-048-DD</x:v>
      </x:c>
      <x:c r="B69" s="37" t="str">
        <x:v>WP-048</x:v>
      </x:c>
      <x:c r="C69" s="37" t="str">
        <x:v>API-TASK-001</x:v>
      </x:c>
      <x:c r="D69" s="37" t="str">
        <x:v>Task検索</x:v>
      </x:c>
      <x:c r="E69" s="37" t="str">
        <x:v>API</x:v>
      </x:c>
      <x:c r="F69" s="37" t="str">
        <x:v>Spring Boot</x:v>
      </x:c>
      <x:c r="G69" s="37" t="str">
        <x:v>詳細設計</x:v>
      </x:c>
      <x:c r="H69" s="37" t="str">
        <x:v>PG-04</x:v>
      </x:c>
      <x:c r="I69" s="37" t="str">
        <x:v>Project Leader</x:v>
      </x:c>
      <x:c r="J69" s="37" t="str">
        <x:v>-</x:v>
      </x:c>
      <x:c r="K69" s="37" t="n">
        <x:v>7</x:v>
      </x:c>
      <x:c r="L69" s="37" t="n">
        <x:v>2</x:v>
      </x:c>
      <x:c r="M69" s="37" t="n">
        <x:v>1</x:v>
      </x:c>
      <x:c r="N69" s="38" t="n">
        <x:v>46252</x:v>
      </x:c>
      <x:c r="O69" s="38" t="n">
        <x:v>46252</x:v>
      </x:c>
      <x:c r="P69" s="38"/>
      <x:c r="Q69" s="38"/>
      <x:c r="R69" s="37" t="str">
        <x:v>未着手</x:v>
      </x:c>
      <x:c r="S69" s="40" t="n">
        <x:f>IF(R69="完了",1,IF(R69="修正中",0.8,IF(R69="Review待ち",0.7,IF(R69="作業中",0.3,0))))</x:f>
        <x:v>0</x:v>
      </x:c>
      <x:c r="T69" s="37" t="str">
        <x:f>IF(AND(R69&lt;&gt;"完了",TODAY()&gt;O69),"遅延","")</x:f>
      </x:c>
      <x:c r="U69" s="37" t="str">
        <x:v>API-TASK-001_Task検索詳細設計書.xlsx</x:v>
      </x:c>
      <x:c r="V69" s="37" t="str"/>
    </x:row>
    <x:row r="70">
      <x:c r="A70" s="37" t="str">
        <x:v>WP-049-DD</x:v>
      </x:c>
      <x:c r="B70" s="37" t="str">
        <x:v>WP-049</x:v>
      </x:c>
      <x:c r="C70" s="37" t="str">
        <x:v>API-TASK-002</x:v>
      </x:c>
      <x:c r="D70" s="37" t="str">
        <x:v>Task詳細</x:v>
      </x:c>
      <x:c r="E70" s="37" t="str">
        <x:v>API</x:v>
      </x:c>
      <x:c r="F70" s="37" t="str">
        <x:v>Spring Boot</x:v>
      </x:c>
      <x:c r="G70" s="37" t="str">
        <x:v>詳細設計</x:v>
      </x:c>
      <x:c r="H70" s="37" t="str">
        <x:v>PG-04</x:v>
      </x:c>
      <x:c r="I70" s="37" t="str">
        <x:v>Project Leader</x:v>
      </x:c>
      <x:c r="J70" s="37" t="str">
        <x:v>-</x:v>
      </x:c>
      <x:c r="K70" s="37" t="n">
        <x:v>7</x:v>
      </x:c>
      <x:c r="L70" s="37" t="n">
        <x:v>2</x:v>
      </x:c>
      <x:c r="M70" s="37" t="n">
        <x:v>1</x:v>
      </x:c>
      <x:c r="N70" s="38" t="n">
        <x:v>46253</x:v>
      </x:c>
      <x:c r="O70" s="38" t="n">
        <x:v>46253</x:v>
      </x:c>
      <x:c r="P70" s="38"/>
      <x:c r="Q70" s="38"/>
      <x:c r="R70" s="37" t="str">
        <x:v>未着手</x:v>
      </x:c>
      <x:c r="S70" s="40" t="n">
        <x:f>IF(R70="完了",1,IF(R70="修正中",0.8,IF(R70="Review待ち",0.7,IF(R70="作業中",0.3,0))))</x:f>
        <x:v>0</x:v>
      </x:c>
      <x:c r="T70" s="37" t="str">
        <x:f>IF(AND(R70&lt;&gt;"完了",TODAY()&gt;O70),"遅延","")</x:f>
      </x:c>
      <x:c r="U70" s="37" t="str">
        <x:v>API-TASK-002_Task詳細詳細設計書.xlsx</x:v>
      </x:c>
      <x:c r="V70" s="37" t="str"/>
    </x:row>
    <x:row r="71">
      <x:c r="A71" s="37" t="str">
        <x:v>WP-050-DD</x:v>
      </x:c>
      <x:c r="B71" s="37" t="str">
        <x:v>WP-050</x:v>
      </x:c>
      <x:c r="C71" s="37" t="str">
        <x:v>API-TASK-003</x:v>
      </x:c>
      <x:c r="D71" s="37" t="str">
        <x:v>Task登録</x:v>
      </x:c>
      <x:c r="E71" s="37" t="str">
        <x:v>API</x:v>
      </x:c>
      <x:c r="F71" s="37" t="str">
        <x:v>Spring Boot</x:v>
      </x:c>
      <x:c r="G71" s="37" t="str">
        <x:v>詳細設計</x:v>
      </x:c>
      <x:c r="H71" s="37" t="str">
        <x:v>PG-04</x:v>
      </x:c>
      <x:c r="I71" s="37" t="str">
        <x:v>Project Leader</x:v>
      </x:c>
      <x:c r="J71" s="37" t="str">
        <x:v>-</x:v>
      </x:c>
      <x:c r="K71" s="37" t="n">
        <x:v>14</x:v>
      </x:c>
      <x:c r="L71" s="37" t="n">
        <x:v>2</x:v>
      </x:c>
      <x:c r="M71" s="37" t="n">
        <x:v>2</x:v>
      </x:c>
      <x:c r="N71" s="38" t="n">
        <x:v>46254</x:v>
      </x:c>
      <x:c r="O71" s="38" t="n">
        <x:v>46255</x:v>
      </x:c>
      <x:c r="P71" s="38"/>
      <x:c r="Q71" s="38"/>
      <x:c r="R71" s="37" t="str">
        <x:v>未着手</x:v>
      </x:c>
      <x:c r="S71" s="40" t="n">
        <x:f>IF(R71="完了",1,IF(R71="修正中",0.8,IF(R71="Review待ち",0.7,IF(R71="作業中",0.3,0))))</x:f>
        <x:v>0</x:v>
      </x:c>
      <x:c r="T71" s="37" t="str">
        <x:f>IF(AND(R71&lt;&gt;"完了",TODAY()&gt;O71),"遅延","")</x:f>
      </x:c>
      <x:c r="U71" s="37" t="str">
        <x:v>API-TASK-003_Task登録詳細設計書.xlsx</x:v>
      </x:c>
      <x:c r="V71" s="37" t="str"/>
    </x:row>
    <x:row r="72">
      <x:c r="A72" s="37" t="str">
        <x:v>WP-051-DD</x:v>
      </x:c>
      <x:c r="B72" s="37" t="str">
        <x:v>WP-051</x:v>
      </x:c>
      <x:c r="C72" s="37" t="str">
        <x:v>API-TASK-004</x:v>
      </x:c>
      <x:c r="D72" s="37" t="str">
        <x:v>Task更新</x:v>
      </x:c>
      <x:c r="E72" s="37" t="str">
        <x:v>API</x:v>
      </x:c>
      <x:c r="F72" s="37" t="str">
        <x:v>Spring Boot</x:v>
      </x:c>
      <x:c r="G72" s="37" t="str">
        <x:v>詳細設計</x:v>
      </x:c>
      <x:c r="H72" s="37" t="str">
        <x:v>PG-04</x:v>
      </x:c>
      <x:c r="I72" s="37" t="str">
        <x:v>Project Leader</x:v>
      </x:c>
      <x:c r="J72" s="37" t="str">
        <x:v>-</x:v>
      </x:c>
      <x:c r="K72" s="37" t="n">
        <x:v>14</x:v>
      </x:c>
      <x:c r="L72" s="37" t="n">
        <x:v>2</x:v>
      </x:c>
      <x:c r="M72" s="37" t="n">
        <x:v>2</x:v>
      </x:c>
      <x:c r="N72" s="38" t="n">
        <x:v>46258</x:v>
      </x:c>
      <x:c r="O72" s="38" t="n">
        <x:v>46259</x:v>
      </x:c>
      <x:c r="P72" s="38"/>
      <x:c r="Q72" s="38"/>
      <x:c r="R72" s="37" t="str">
        <x:v>未着手</x:v>
      </x:c>
      <x:c r="S72" s="40" t="n">
        <x:f>IF(R72="完了",1,IF(R72="修正中",0.8,IF(R72="Review待ち",0.7,IF(R72="作業中",0.3,0))))</x:f>
        <x:v>0</x:v>
      </x:c>
      <x:c r="T72" s="37" t="str">
        <x:f>IF(AND(R72&lt;&gt;"完了",TODAY()&gt;O72),"遅延","")</x:f>
      </x:c>
      <x:c r="U72" s="37" t="str">
        <x:v>API-TASK-004_Task更新詳細設計書.xlsx</x:v>
      </x:c>
      <x:c r="V72" s="37" t="str"/>
    </x:row>
    <x:row r="73">
      <x:c r="A73" s="37" t="str">
        <x:v>WP-052-DD</x:v>
      </x:c>
      <x:c r="B73" s="37" t="str">
        <x:v>WP-052</x:v>
      </x:c>
      <x:c r="C73" s="37" t="str">
        <x:v>API-TASK-005</x:v>
      </x:c>
      <x:c r="D73" s="37" t="str">
        <x:v>Task状態更新</x:v>
      </x:c>
      <x:c r="E73" s="37" t="str">
        <x:v>API</x:v>
      </x:c>
      <x:c r="F73" s="37" t="str">
        <x:v>Spring Boot</x:v>
      </x:c>
      <x:c r="G73" s="37" t="str">
        <x:v>詳細設計</x:v>
      </x:c>
      <x:c r="H73" s="37" t="str">
        <x:v>PG-04</x:v>
      </x:c>
      <x:c r="I73" s="37" t="str">
        <x:v>Project Leader</x:v>
      </x:c>
      <x:c r="J73" s="37" t="str">
        <x:v>-</x:v>
      </x:c>
      <x:c r="K73" s="37" t="n">
        <x:v>14</x:v>
      </x:c>
      <x:c r="L73" s="37" t="n">
        <x:v>2</x:v>
      </x:c>
      <x:c r="M73" s="37" t="n">
        <x:v>2</x:v>
      </x:c>
      <x:c r="N73" s="38" t="n">
        <x:v>46260</x:v>
      </x:c>
      <x:c r="O73" s="38" t="n">
        <x:v>46261</x:v>
      </x:c>
      <x:c r="P73" s="38"/>
      <x:c r="Q73" s="38"/>
      <x:c r="R73" s="37" t="str">
        <x:v>未着手</x:v>
      </x:c>
      <x:c r="S73" s="40" t="n">
        <x:f>IF(R73="完了",1,IF(R73="修正中",0.8,IF(R73="Review待ち",0.7,IF(R73="作業中",0.3,0))))</x:f>
        <x:v>0</x:v>
      </x:c>
      <x:c r="T73" s="37" t="str">
        <x:f>IF(AND(R73&lt;&gt;"完了",TODAY()&gt;O73),"遅延","")</x:f>
      </x:c>
      <x:c r="U73" s="37" t="str">
        <x:v>API-TASK-005_Task状態更新詳細設計書.xlsx</x:v>
      </x:c>
      <x:c r="V73" s="37" t="str"/>
    </x:row>
    <x:row r="74">
      <x:c r="A74" s="37" t="str">
        <x:v>WP-053-DD</x:v>
      </x:c>
      <x:c r="B74" s="37" t="str">
        <x:v>WP-053</x:v>
      </x:c>
      <x:c r="C74" s="37" t="str">
        <x:v>API-TASK-006</x:v>
      </x:c>
      <x:c r="D74" s="37" t="str">
        <x:v>進捗更新</x:v>
      </x:c>
      <x:c r="E74" s="37" t="str">
        <x:v>API</x:v>
      </x:c>
      <x:c r="F74" s="37" t="str">
        <x:v>Spring Boot</x:v>
      </x:c>
      <x:c r="G74" s="37" t="str">
        <x:v>詳細設計</x:v>
      </x:c>
      <x:c r="H74" s="37" t="str">
        <x:v>PG-04</x:v>
      </x:c>
      <x:c r="I74" s="37" t="str">
        <x:v>Project Leader</x:v>
      </x:c>
      <x:c r="J74" s="37" t="str">
        <x:v>-</x:v>
      </x:c>
      <x:c r="K74" s="37" t="n">
        <x:v>14</x:v>
      </x:c>
      <x:c r="L74" s="37" t="n">
        <x:v>2</x:v>
      </x:c>
      <x:c r="M74" s="37" t="n">
        <x:v>2</x:v>
      </x:c>
      <x:c r="N74" s="38" t="n">
        <x:v>46262</x:v>
      </x:c>
      <x:c r="O74" s="38" t="n">
        <x:v>46265</x:v>
      </x:c>
      <x:c r="P74" s="38"/>
      <x:c r="Q74" s="38"/>
      <x:c r="R74" s="37" t="str">
        <x:v>未着手</x:v>
      </x:c>
      <x:c r="S74" s="40" t="n">
        <x:f>IF(R74="完了",1,IF(R74="修正中",0.8,IF(R74="Review待ち",0.7,IF(R74="作業中",0.3,0))))</x:f>
        <x:v>0</x:v>
      </x:c>
      <x:c r="T74" s="37" t="str">
        <x:f>IF(AND(R74&lt;&gt;"完了",TODAY()&gt;O74),"遅延","")</x:f>
      </x:c>
      <x:c r="U74" s="37" t="str">
        <x:v>API-TASK-006_進捗更新詳細設計書.xlsx</x:v>
      </x:c>
      <x:c r="V74" s="37" t="str"/>
    </x:row>
    <x:row r="75">
      <x:c r="A75" s="37" t="str">
        <x:v>WP-054-DD</x:v>
      </x:c>
      <x:c r="B75" s="37" t="str">
        <x:v>WP-054</x:v>
      </x:c>
      <x:c r="C75" s="37" t="str">
        <x:v>API-TASK-007</x:v>
      </x:c>
      <x:c r="D75" s="37" t="str">
        <x:v>Comment登録</x:v>
      </x:c>
      <x:c r="E75" s="37" t="str">
        <x:v>API</x:v>
      </x:c>
      <x:c r="F75" s="37" t="str">
        <x:v>Spring Boot</x:v>
      </x:c>
      <x:c r="G75" s="37" t="str">
        <x:v>詳細設計</x:v>
      </x:c>
      <x:c r="H75" s="37" t="str">
        <x:v>PG-04</x:v>
      </x:c>
      <x:c r="I75" s="37" t="str">
        <x:v>Project Leader</x:v>
      </x:c>
      <x:c r="J75" s="37" t="str">
        <x:v>-</x:v>
      </x:c>
      <x:c r="K75" s="37" t="n">
        <x:v>14</x:v>
      </x:c>
      <x:c r="L75" s="37" t="n">
        <x:v>2</x:v>
      </x:c>
      <x:c r="M75" s="37" t="n">
        <x:v>2</x:v>
      </x:c>
      <x:c r="N75" s="38" t="n">
        <x:v>46266</x:v>
      </x:c>
      <x:c r="O75" s="38" t="n">
        <x:v>46267</x:v>
      </x:c>
      <x:c r="P75" s="38"/>
      <x:c r="Q75" s="38"/>
      <x:c r="R75" s="37" t="str">
        <x:v>未着手</x:v>
      </x:c>
      <x:c r="S75" s="40" t="n">
        <x:f>IF(R75="完了",1,IF(R75="修正中",0.8,IF(R75="Review待ち",0.7,IF(R75="作業中",0.3,0))))</x:f>
        <x:v>0</x:v>
      </x:c>
      <x:c r="T75" s="37" t="str">
        <x:f>IF(AND(R75&lt;&gt;"完了",TODAY()&gt;O75),"遅延","")</x:f>
      </x:c>
      <x:c r="U75" s="37" t="str">
        <x:v>API-TASK-007_Comment登録詳細設計書.xlsx</x:v>
      </x:c>
      <x:c r="V75" s="37" t="str"/>
    </x:row>
    <x:row r="76">
      <x:c r="A76" s="37" t="str">
        <x:v>WP-055-DD</x:v>
      </x:c>
      <x:c r="B76" s="37" t="str">
        <x:v>WP-055</x:v>
      </x:c>
      <x:c r="C76" s="37" t="str">
        <x:v>API-TASK-008</x:v>
      </x:c>
      <x:c r="D76" s="37" t="str">
        <x:v>履歴検索</x:v>
      </x:c>
      <x:c r="E76" s="37" t="str">
        <x:v>API</x:v>
      </x:c>
      <x:c r="F76" s="37" t="str">
        <x:v>Spring Boot</x:v>
      </x:c>
      <x:c r="G76" s="37" t="str">
        <x:v>詳細設計</x:v>
      </x:c>
      <x:c r="H76" s="37" t="str">
        <x:v>PG-04</x:v>
      </x:c>
      <x:c r="I76" s="37" t="str">
        <x:v>Project Leader</x:v>
      </x:c>
      <x:c r="J76" s="37" t="str">
        <x:v>-</x:v>
      </x:c>
      <x:c r="K76" s="37" t="n">
        <x:v>7</x:v>
      </x:c>
      <x:c r="L76" s="37" t="n">
        <x:v>2</x:v>
      </x:c>
      <x:c r="M76" s="37" t="n">
        <x:v>1</x:v>
      </x:c>
      <x:c r="N76" s="38" t="n">
        <x:v>46268</x:v>
      </x:c>
      <x:c r="O76" s="38" t="n">
        <x:v>46268</x:v>
      </x:c>
      <x:c r="P76" s="38"/>
      <x:c r="Q76" s="38"/>
      <x:c r="R76" s="37" t="str">
        <x:v>未着手</x:v>
      </x:c>
      <x:c r="S76" s="40" t="n">
        <x:f>IF(R76="完了",1,IF(R76="修正中",0.8,IF(R76="Review待ち",0.7,IF(R76="作業中",0.3,0))))</x:f>
        <x:v>0</x:v>
      </x:c>
      <x:c r="T76" s="37" t="str">
        <x:f>IF(AND(R76&lt;&gt;"完了",TODAY()&gt;O76),"遅延","")</x:f>
      </x:c>
      <x:c r="U76" s="37" t="str">
        <x:v>API-TASK-008_履歴検索詳細設計書.xlsx</x:v>
      </x:c>
      <x:c r="V76" s="37" t="str"/>
    </x:row>
    <x:row r="77">
      <x:c r="A77" s="37" t="str">
        <x:v>WP-056-DD</x:v>
      </x:c>
      <x:c r="B77" s="37" t="str">
        <x:v>WP-056</x:v>
      </x:c>
      <x:c r="C77" s="37" t="str">
        <x:v>API-TASK-009</x:v>
      </x:c>
      <x:c r="D77" s="37" t="str">
        <x:v>添付登録</x:v>
      </x:c>
      <x:c r="E77" s="37" t="str">
        <x:v>API</x:v>
      </x:c>
      <x:c r="F77" s="37" t="str">
        <x:v>Spring Boot</x:v>
      </x:c>
      <x:c r="G77" s="37" t="str">
        <x:v>詳細設計</x:v>
      </x:c>
      <x:c r="H77" s="37" t="str">
        <x:v>PG-04</x:v>
      </x:c>
      <x:c r="I77" s="37" t="str">
        <x:v>Project Leader</x:v>
      </x:c>
      <x:c r="J77" s="37" t="str">
        <x:v>-</x:v>
      </x:c>
      <x:c r="K77" s="37" t="n">
        <x:v>21</x:v>
      </x:c>
      <x:c r="L77" s="37" t="n">
        <x:v>2</x:v>
      </x:c>
      <x:c r="M77" s="37" t="n">
        <x:v>3</x:v>
      </x:c>
      <x:c r="N77" s="38" t="n">
        <x:v>46269</x:v>
      </x:c>
      <x:c r="O77" s="38" t="n">
        <x:v>46273</x:v>
      </x:c>
      <x:c r="P77" s="38"/>
      <x:c r="Q77" s="38"/>
      <x:c r="R77" s="37" t="str">
        <x:v>未着手</x:v>
      </x:c>
      <x:c r="S77" s="40" t="n">
        <x:f>IF(R77="完了",1,IF(R77="修正中",0.8,IF(R77="Review待ち",0.7,IF(R77="作業中",0.3,0))))</x:f>
        <x:v>0</x:v>
      </x:c>
      <x:c r="T77" s="37" t="str">
        <x:f>IF(AND(R77&lt;&gt;"完了",TODAY()&gt;O77),"遅延","")</x:f>
      </x:c>
      <x:c r="U77" s="37" t="str">
        <x:v>API-TASK-009_添付登録詳細設計書.xlsx</x:v>
      </x:c>
      <x:c r="V77" s="37" t="str"/>
    </x:row>
    <x:row r="78">
      <x:c r="A78" s="37" t="str">
        <x:v>WP-057-DD</x:v>
      </x:c>
      <x:c r="B78" s="37" t="str">
        <x:v>WP-057</x:v>
      </x:c>
      <x:c r="C78" s="37" t="str">
        <x:v>API-TASK-010</x:v>
      </x:c>
      <x:c r="D78" s="37" t="str">
        <x:v>添付取得</x:v>
      </x:c>
      <x:c r="E78" s="37" t="str">
        <x:v>API</x:v>
      </x:c>
      <x:c r="F78" s="37" t="str">
        <x:v>Spring Boot</x:v>
      </x:c>
      <x:c r="G78" s="37" t="str">
        <x:v>詳細設計</x:v>
      </x:c>
      <x:c r="H78" s="37" t="str">
        <x:v>PG-04</x:v>
      </x:c>
      <x:c r="I78" s="37" t="str">
        <x:v>Project Leader</x:v>
      </x:c>
      <x:c r="J78" s="37" t="str">
        <x:v>-</x:v>
      </x:c>
      <x:c r="K78" s="37" t="n">
        <x:v>21</x:v>
      </x:c>
      <x:c r="L78" s="37" t="n">
        <x:v>2</x:v>
      </x:c>
      <x:c r="M78" s="37" t="n">
        <x:v>3</x:v>
      </x:c>
      <x:c r="N78" s="38" t="n">
        <x:v>46274</x:v>
      </x:c>
      <x:c r="O78" s="38" t="n">
        <x:v>46276</x:v>
      </x:c>
      <x:c r="P78" s="38"/>
      <x:c r="Q78" s="38"/>
      <x:c r="R78" s="37" t="str">
        <x:v>未着手</x:v>
      </x:c>
      <x:c r="S78" s="40" t="n">
        <x:f>IF(R78="完了",1,IF(R78="修正中",0.8,IF(R78="Review待ち",0.7,IF(R78="作業中",0.3,0))))</x:f>
        <x:v>0</x:v>
      </x:c>
      <x:c r="T78" s="37" t="str">
        <x:f>IF(AND(R78&lt;&gt;"完了",TODAY()&gt;O78),"遅延","")</x:f>
      </x:c>
      <x:c r="U78" s="37" t="str">
        <x:v>API-TASK-010_添付取得詳細設計書.xlsx</x:v>
      </x:c>
      <x:c r="V78" s="37" t="str"/>
    </x:row>
    <x:row r="79">
      <x:c r="A79" s="37" t="str">
        <x:v>WP-058-DD</x:v>
      </x:c>
      <x:c r="B79" s="37" t="str">
        <x:v>WP-058</x:v>
      </x:c>
      <x:c r="C79" s="37" t="str">
        <x:v>API-TASK-011</x:v>
      </x:c>
      <x:c r="D79" s="37" t="str">
        <x:v>添付削除</x:v>
      </x:c>
      <x:c r="E79" s="37" t="str">
        <x:v>API</x:v>
      </x:c>
      <x:c r="F79" s="37" t="str">
        <x:v>Spring Boot</x:v>
      </x:c>
      <x:c r="G79" s="37" t="str">
        <x:v>詳細設計</x:v>
      </x:c>
      <x:c r="H79" s="37" t="str">
        <x:v>PG-04</x:v>
      </x:c>
      <x:c r="I79" s="37" t="str">
        <x:v>Project Leader</x:v>
      </x:c>
      <x:c r="J79" s="37" t="str">
        <x:v>-</x:v>
      </x:c>
      <x:c r="K79" s="37" t="n">
        <x:v>21</x:v>
      </x:c>
      <x:c r="L79" s="37" t="n">
        <x:v>2</x:v>
      </x:c>
      <x:c r="M79" s="37" t="n">
        <x:v>3</x:v>
      </x:c>
      <x:c r="N79" s="38" t="n">
        <x:v>46279</x:v>
      </x:c>
      <x:c r="O79" s="38" t="n">
        <x:v>46281</x:v>
      </x:c>
      <x:c r="P79" s="38"/>
      <x:c r="Q79" s="38"/>
      <x:c r="R79" s="37" t="str">
        <x:v>未着手</x:v>
      </x:c>
      <x:c r="S79" s="40" t="n">
        <x:f>IF(R79="完了",1,IF(R79="修正中",0.8,IF(R79="Review待ち",0.7,IF(R79="作業中",0.3,0))))</x:f>
        <x:v>0</x:v>
      </x:c>
      <x:c r="T79" s="37" t="str">
        <x:f>IF(AND(R79&lt;&gt;"完了",TODAY()&gt;O79),"遅延","")</x:f>
      </x:c>
      <x:c r="U79" s="37" t="str">
        <x:v>API-TASK-011_添付削除詳細設計書.xlsx</x:v>
      </x:c>
      <x:c r="V79" s="37" t="str"/>
    </x:row>
    <x:row r="80">
      <x:c r="A80" s="37" t="str">
        <x:v>WP-081-DD</x:v>
      </x:c>
      <x:c r="B80" s="37" t="str">
        <x:v>WP-081</x:v>
      </x:c>
      <x:c r="C80" s="37" t="str">
        <x:v>SCR-013-REACT</x:v>
      </x:c>
      <x:c r="D80" s="37" t="str">
        <x:v>タスク一覧画面（React）</x:v>
      </x:c>
      <x:c r="E80" s="37" t="str">
        <x:v>画面</x:v>
      </x:c>
      <x:c r="F80" s="37" t="str">
        <x:v>React</x:v>
      </x:c>
      <x:c r="G80" s="37" t="str">
        <x:v>詳細設計</x:v>
      </x:c>
      <x:c r="H80" s="37" t="str">
        <x:v>PG-04</x:v>
      </x:c>
      <x:c r="I80" s="37" t="str">
        <x:v>Project Leader</x:v>
      </x:c>
      <x:c r="J80" s="37" t="str">
        <x:v>-</x:v>
      </x:c>
      <x:c r="K80" s="37" t="n">
        <x:v>7</x:v>
      </x:c>
      <x:c r="L80" s="37" t="n">
        <x:v>2</x:v>
      </x:c>
      <x:c r="M80" s="37" t="n">
        <x:v>1</x:v>
      </x:c>
      <x:c r="N80" s="38" t="n">
        <x:v>46282</x:v>
      </x:c>
      <x:c r="O80" s="38" t="n">
        <x:v>46282</x:v>
      </x:c>
      <x:c r="P80" s="38"/>
      <x:c r="Q80" s="38"/>
      <x:c r="R80" s="37" t="str">
        <x:v>未着手</x:v>
      </x:c>
      <x:c r="S80" s="40" t="n">
        <x:f>IF(R80="完了",1,IF(R80="修正中",0.8,IF(R80="Review待ち",0.7,IF(R80="作業中",0.3,0))))</x:f>
        <x:v>0</x:v>
      </x:c>
      <x:c r="T80" s="37" t="str">
        <x:f>IF(AND(R80&lt;&gt;"完了",TODAY()&gt;O80),"遅延","")</x:f>
      </x:c>
      <x:c r="U80" s="37" t="str">
        <x:v>SCR-013-REACT_タスク一覧画面（React）詳細設計書.xlsx</x:v>
      </x:c>
      <x:c r="V80" s="37" t="str"/>
    </x:row>
    <x:row r="81">
      <x:c r="A81" s="37" t="str">
        <x:v>WP-082-DD</x:v>
      </x:c>
      <x:c r="B81" s="37" t="str">
        <x:v>WP-082</x:v>
      </x:c>
      <x:c r="C81" s="37" t="str">
        <x:v>SCR-014-REACT</x:v>
      </x:c>
      <x:c r="D81" s="37" t="str">
        <x:v>マイタスク画面（React）</x:v>
      </x:c>
      <x:c r="E81" s="37" t="str">
        <x:v>画面</x:v>
      </x:c>
      <x:c r="F81" s="37" t="str">
        <x:v>React</x:v>
      </x:c>
      <x:c r="G81" s="37" t="str">
        <x:v>詳細設計</x:v>
      </x:c>
      <x:c r="H81" s="37" t="str">
        <x:v>PG-04</x:v>
      </x:c>
      <x:c r="I81" s="37" t="str">
        <x:v>Project Leader</x:v>
      </x:c>
      <x:c r="J81" s="37" t="str">
        <x:v>-</x:v>
      </x:c>
      <x:c r="K81" s="37" t="n">
        <x:v>7</x:v>
      </x:c>
      <x:c r="L81" s="37" t="n">
        <x:v>2</x:v>
      </x:c>
      <x:c r="M81" s="37" t="n">
        <x:v>1</x:v>
      </x:c>
      <x:c r="N81" s="38" t="n">
        <x:v>46283</x:v>
      </x:c>
      <x:c r="O81" s="38" t="n">
        <x:v>46283</x:v>
      </x:c>
      <x:c r="P81" s="38"/>
      <x:c r="Q81" s="38"/>
      <x:c r="R81" s="37" t="str">
        <x:v>未着手</x:v>
      </x:c>
      <x:c r="S81" s="40" t="n">
        <x:f>IF(R81="完了",1,IF(R81="修正中",0.8,IF(R81="Review待ち",0.7,IF(R81="作業中",0.3,0))))</x:f>
        <x:v>0</x:v>
      </x:c>
      <x:c r="T81" s="37" t="str">
        <x:f>IF(AND(R81&lt;&gt;"完了",TODAY()&gt;O81),"遅延","")</x:f>
      </x:c>
      <x:c r="U81" s="37" t="str">
        <x:v>SCR-014-REACT_マイタスク画面（React）詳細設計書.xlsx</x:v>
      </x:c>
      <x:c r="V81" s="37" t="str"/>
    </x:row>
    <x:row r="82">
      <x:c r="A82" s="37" t="str">
        <x:v>WP-083-DD</x:v>
      </x:c>
      <x:c r="B82" s="37" t="str">
        <x:v>WP-083</x:v>
      </x:c>
      <x:c r="C82" s="37" t="str">
        <x:v>SCR-015-REACT</x:v>
      </x:c>
      <x:c r="D82" s="37" t="str">
        <x:v>タスク登録画面（React）</x:v>
      </x:c>
      <x:c r="E82" s="37" t="str">
        <x:v>画面</x:v>
      </x:c>
      <x:c r="F82" s="37" t="str">
        <x:v>React</x:v>
      </x:c>
      <x:c r="G82" s="37" t="str">
        <x:v>詳細設計</x:v>
      </x:c>
      <x:c r="H82" s="37" t="str">
        <x:v>PG-04</x:v>
      </x:c>
      <x:c r="I82" s="37" t="str">
        <x:v>Project Leader</x:v>
      </x:c>
      <x:c r="J82" s="37" t="str">
        <x:v>-</x:v>
      </x:c>
      <x:c r="K82" s="37" t="n">
        <x:v>14</x:v>
      </x:c>
      <x:c r="L82" s="37" t="n">
        <x:v>2</x:v>
      </x:c>
      <x:c r="M82" s="37" t="n">
        <x:v>2</x:v>
      </x:c>
      <x:c r="N82" s="38" t="n">
        <x:v>46289</x:v>
      </x:c>
      <x:c r="O82" s="38" t="n">
        <x:v>46290</x:v>
      </x:c>
      <x:c r="P82" s="38"/>
      <x:c r="Q82" s="38"/>
      <x:c r="R82" s="37" t="str">
        <x:v>未着手</x:v>
      </x:c>
      <x:c r="S82" s="40" t="n">
        <x:f>IF(R82="完了",1,IF(R82="修正中",0.8,IF(R82="Review待ち",0.7,IF(R82="作業中",0.3,0))))</x:f>
        <x:v>0</x:v>
      </x:c>
      <x:c r="T82" s="37" t="str">
        <x:f>IF(AND(R82&lt;&gt;"完了",TODAY()&gt;O82),"遅延","")</x:f>
      </x:c>
      <x:c r="U82" s="37" t="str">
        <x:v>SCR-015-REACT_タスク登録画面（React）詳細設計書.xlsx</x:v>
      </x:c>
      <x:c r="V82" s="37" t="str"/>
    </x:row>
    <x:row r="83">
      <x:c r="A83" s="37" t="str">
        <x:v>WP-084-DD</x:v>
      </x:c>
      <x:c r="B83" s="37" t="str">
        <x:v>WP-084</x:v>
      </x:c>
      <x:c r="C83" s="37" t="str">
        <x:v>SCR-016-REACT</x:v>
      </x:c>
      <x:c r="D83" s="37" t="str">
        <x:v>タスク編集画面（React）</x:v>
      </x:c>
      <x:c r="E83" s="37" t="str">
        <x:v>画面</x:v>
      </x:c>
      <x:c r="F83" s="37" t="str">
        <x:v>React</x:v>
      </x:c>
      <x:c r="G83" s="37" t="str">
        <x:v>詳細設計</x:v>
      </x:c>
      <x:c r="H83" s="37" t="str">
        <x:v>PG-04</x:v>
      </x:c>
      <x:c r="I83" s="37" t="str">
        <x:v>Project Leader</x:v>
      </x:c>
      <x:c r="J83" s="37" t="str">
        <x:v>-</x:v>
      </x:c>
      <x:c r="K83" s="37" t="n">
        <x:v>14</x:v>
      </x:c>
      <x:c r="L83" s="37" t="n">
        <x:v>2</x:v>
      </x:c>
      <x:c r="M83" s="37" t="n">
        <x:v>2</x:v>
      </x:c>
      <x:c r="N83" s="38" t="n">
        <x:v>46293</x:v>
      </x:c>
      <x:c r="O83" s="38" t="n">
        <x:v>46294</x:v>
      </x:c>
      <x:c r="P83" s="38"/>
      <x:c r="Q83" s="38"/>
      <x:c r="R83" s="37" t="str">
        <x:v>未着手</x:v>
      </x:c>
      <x:c r="S83" s="40" t="n">
        <x:f>IF(R83="完了",1,IF(R83="修正中",0.8,IF(R83="Review待ち",0.7,IF(R83="作業中",0.3,0))))</x:f>
        <x:v>0</x:v>
      </x:c>
      <x:c r="T83" s="37" t="str">
        <x:f>IF(AND(R83&lt;&gt;"完了",TODAY()&gt;O83),"遅延","")</x:f>
      </x:c>
      <x:c r="U83" s="37" t="str">
        <x:v>SCR-016-REACT_タスク編集画面（React）詳細設計書.xlsx</x:v>
      </x:c>
      <x:c r="V83" s="37" t="str"/>
    </x:row>
    <x:row r="84">
      <x:c r="A84" s="37" t="str">
        <x:v>WP-085-DD</x:v>
      </x:c>
      <x:c r="B84" s="37" t="str">
        <x:v>WP-085</x:v>
      </x:c>
      <x:c r="C84" s="37" t="str">
        <x:v>SCR-017-REACT</x:v>
      </x:c>
      <x:c r="D84" s="37" t="str">
        <x:v>タスク詳細画面（React）</x:v>
      </x:c>
      <x:c r="E84" s="37" t="str">
        <x:v>画面</x:v>
      </x:c>
      <x:c r="F84" s="37" t="str">
        <x:v>React</x:v>
      </x:c>
      <x:c r="G84" s="37" t="str">
        <x:v>詳細設計</x:v>
      </x:c>
      <x:c r="H84" s="37" t="str">
        <x:v>PG-04</x:v>
      </x:c>
      <x:c r="I84" s="37" t="str">
        <x:v>Project Leader</x:v>
      </x:c>
      <x:c r="J84" s="37" t="str">
        <x:v>-</x:v>
      </x:c>
      <x:c r="K84" s="37" t="n">
        <x:v>21</x:v>
      </x:c>
      <x:c r="L84" s="37" t="n">
        <x:v>2</x:v>
      </x:c>
      <x:c r="M84" s="37" t="n">
        <x:v>3</x:v>
      </x:c>
      <x:c r="N84" s="38" t="n">
        <x:v>46295</x:v>
      </x:c>
      <x:c r="O84" s="38" t="n">
        <x:v>46297</x:v>
      </x:c>
      <x:c r="P84" s="38"/>
      <x:c r="Q84" s="38"/>
      <x:c r="R84" s="37" t="str">
        <x:v>未着手</x:v>
      </x:c>
      <x:c r="S84" s="40" t="n">
        <x:f>IF(R84="完了",1,IF(R84="修正中",0.8,IF(R84="Review待ち",0.7,IF(R84="作業中",0.3,0))))</x:f>
        <x:v>0</x:v>
      </x:c>
      <x:c r="T84" s="37" t="str">
        <x:f>IF(AND(R84&lt;&gt;"完了",TODAY()&gt;O84),"遅延","")</x:f>
      </x:c>
      <x:c r="U84" s="37" t="str">
        <x:v>SCR-017-REACT_タスク詳細画面（React）詳細設計書.xlsx</x:v>
      </x:c>
      <x:c r="V84" s="37" t="str"/>
    </x:row>
    <x:row r="85">
      <x:c r="A85" s="37" t="str">
        <x:v>WP-086-DD</x:v>
      </x:c>
      <x:c r="B85" s="37" t="str">
        <x:v>WP-086</x:v>
      </x:c>
      <x:c r="C85" s="37" t="str">
        <x:v>SCR-018-REACT</x:v>
      </x:c>
      <x:c r="D85" s="37" t="str">
        <x:v>タスクボード画面（React）</x:v>
      </x:c>
      <x:c r="E85" s="37" t="str">
        <x:v>画面</x:v>
      </x:c>
      <x:c r="F85" s="37" t="str">
        <x:v>React</x:v>
      </x:c>
      <x:c r="G85" s="37" t="str">
        <x:v>詳細設計</x:v>
      </x:c>
      <x:c r="H85" s="37" t="str">
        <x:v>PG-04</x:v>
      </x:c>
      <x:c r="I85" s="37" t="str">
        <x:v>Project Leader</x:v>
      </x:c>
      <x:c r="J85" s="37" t="str">
        <x:v>-</x:v>
      </x:c>
      <x:c r="K85" s="37" t="n">
        <x:v>21</x:v>
      </x:c>
      <x:c r="L85" s="37" t="n">
        <x:v>2</x:v>
      </x:c>
      <x:c r="M85" s="37" t="n">
        <x:v>3</x:v>
      </x:c>
      <x:c r="N85" s="38" t="n">
        <x:v>46300</x:v>
      </x:c>
      <x:c r="O85" s="38" t="n">
        <x:v>46302</x:v>
      </x:c>
      <x:c r="P85" s="38"/>
      <x:c r="Q85" s="38"/>
      <x:c r="R85" s="37" t="str">
        <x:v>未着手</x:v>
      </x:c>
      <x:c r="S85" s="40" t="n">
        <x:f>IF(R85="完了",1,IF(R85="修正中",0.8,IF(R85="Review待ち",0.7,IF(R85="作業中",0.3,0))))</x:f>
        <x:v>0</x:v>
      </x:c>
      <x:c r="T85" s="37" t="str">
        <x:f>IF(AND(R85&lt;&gt;"完了",TODAY()&gt;O85),"遅延","")</x:f>
      </x:c>
      <x:c r="U85" s="37" t="str">
        <x:v>SCR-018-REACT_タスクボード画面（React）詳細設計書.xlsx</x:v>
      </x:c>
      <x:c r="V85" s="37" t="str"/>
    </x:row>
    <x:row r="86">
      <x:c r="A86" s="37" t="str">
        <x:v>WP-006-DD</x:v>
      </x:c>
      <x:c r="B86" s="37" t="str">
        <x:v>WP-006</x:v>
      </x:c>
      <x:c r="C86" s="37" t="str">
        <x:v>COM-REDIS-001</x:v>
      </x:c>
      <x:c r="D86" s="37" t="str">
        <x:v>Redis共通処理</x:v>
      </x:c>
      <x:c r="E86" s="37" t="str">
        <x:v>共通</x:v>
      </x:c>
      <x:c r="F86" s="37" t="str">
        <x:v>Backend/共通</x:v>
      </x:c>
      <x:c r="G86" s="37" t="str">
        <x:v>詳細設計</x:v>
      </x:c>
      <x:c r="H86" s="37" t="str">
        <x:v>PG-05</x:v>
      </x:c>
      <x:c r="I86" s="37" t="str">
        <x:v>Project Leader</x:v>
      </x:c>
      <x:c r="J86" s="37" t="str">
        <x:v>-</x:v>
      </x:c>
      <x:c r="K86" s="37" t="n">
        <x:v>14</x:v>
      </x:c>
      <x:c r="L86" s="37" t="n">
        <x:v>2</x:v>
      </x:c>
      <x:c r="M86" s="37" t="n">
        <x:v>2</x:v>
      </x:c>
      <x:c r="N86" s="38" t="n">
        <x:v>46247</x:v>
      </x:c>
      <x:c r="O86" s="38" t="n">
        <x:v>46248</x:v>
      </x:c>
      <x:c r="P86" s="38"/>
      <x:c r="Q86" s="38"/>
      <x:c r="R86" s="37" t="str">
        <x:v>未着手</x:v>
      </x:c>
      <x:c r="S86" s="40" t="n">
        <x:f>IF(R86="完了",1,IF(R86="修正中",0.8,IF(R86="Review待ち",0.7,IF(R86="作業中",0.3,0))))</x:f>
        <x:v>0</x:v>
      </x:c>
      <x:c r="T86" s="37" t="str">
        <x:f>IF(AND(R86&lt;&gt;"完了",TODAY()&gt;O86),"遅延","")</x:f>
      </x:c>
      <x:c r="U86" s="37" t="str">
        <x:v>COM-REDIS-001_Redis共通処理詳細設計書.xlsx</x:v>
      </x:c>
      <x:c r="V86" s="37" t="str"/>
    </x:row>
    <x:row r="87">
      <x:c r="A87" s="37" t="str">
        <x:v>WP-059-DD</x:v>
      </x:c>
      <x:c r="B87" s="37" t="str">
        <x:v>WP-059</x:v>
      </x:c>
      <x:c r="C87" s="37" t="str">
        <x:v>API-RPT-001</x:v>
      </x:c>
      <x:c r="D87" s="37" t="str">
        <x:v>日報検索</x:v>
      </x:c>
      <x:c r="E87" s="37" t="str">
        <x:v>API</x:v>
      </x:c>
      <x:c r="F87" s="37" t="str">
        <x:v>Spring Boot</x:v>
      </x:c>
      <x:c r="G87" s="37" t="str">
        <x:v>詳細設計</x:v>
      </x:c>
      <x:c r="H87" s="37" t="str">
        <x:v>PG-05</x:v>
      </x:c>
      <x:c r="I87" s="37" t="str">
        <x:v>Project Leader</x:v>
      </x:c>
      <x:c r="J87" s="37" t="str">
        <x:v>-</x:v>
      </x:c>
      <x:c r="K87" s="37" t="n">
        <x:v>7</x:v>
      </x:c>
      <x:c r="L87" s="37" t="n">
        <x:v>2</x:v>
      </x:c>
      <x:c r="M87" s="37" t="n">
        <x:v>1</x:v>
      </x:c>
      <x:c r="N87" s="38" t="n">
        <x:v>46251</x:v>
      </x:c>
      <x:c r="O87" s="38" t="n">
        <x:v>46251</x:v>
      </x:c>
      <x:c r="P87" s="38"/>
      <x:c r="Q87" s="38"/>
      <x:c r="R87" s="37" t="str">
        <x:v>未着手</x:v>
      </x:c>
      <x:c r="S87" s="40" t="n">
        <x:f>IF(R87="完了",1,IF(R87="修正中",0.8,IF(R87="Review待ち",0.7,IF(R87="作業中",0.3,0))))</x:f>
        <x:v>0</x:v>
      </x:c>
      <x:c r="T87" s="37" t="str">
        <x:f>IF(AND(R87&lt;&gt;"完了",TODAY()&gt;O87),"遅延","")</x:f>
      </x:c>
      <x:c r="U87" s="37" t="str">
        <x:v>API-RPT-001_日報検索詳細設計書.xlsx</x:v>
      </x:c>
      <x:c r="V87" s="37" t="str"/>
    </x:row>
    <x:row r="88">
      <x:c r="A88" s="37" t="str">
        <x:v>WP-060-DD</x:v>
      </x:c>
      <x:c r="B88" s="37" t="str">
        <x:v>WP-060</x:v>
      </x:c>
      <x:c r="C88" s="37" t="str">
        <x:v>API-RPT-002</x:v>
      </x:c>
      <x:c r="D88" s="37" t="str">
        <x:v>日報詳細</x:v>
      </x:c>
      <x:c r="E88" s="37" t="str">
        <x:v>API</x:v>
      </x:c>
      <x:c r="F88" s="37" t="str">
        <x:v>Spring Boot</x:v>
      </x:c>
      <x:c r="G88" s="37" t="str">
        <x:v>詳細設計</x:v>
      </x:c>
      <x:c r="H88" s="37" t="str">
        <x:v>PG-05</x:v>
      </x:c>
      <x:c r="I88" s="37" t="str">
        <x:v>Project Leader</x:v>
      </x:c>
      <x:c r="J88" s="37" t="str">
        <x:v>-</x:v>
      </x:c>
      <x:c r="K88" s="37" t="n">
        <x:v>7</x:v>
      </x:c>
      <x:c r="L88" s="37" t="n">
        <x:v>2</x:v>
      </x:c>
      <x:c r="M88" s="37" t="n">
        <x:v>1</x:v>
      </x:c>
      <x:c r="N88" s="38" t="n">
        <x:v>46252</x:v>
      </x:c>
      <x:c r="O88" s="38" t="n">
        <x:v>46252</x:v>
      </x:c>
      <x:c r="P88" s="38"/>
      <x:c r="Q88" s="38"/>
      <x:c r="R88" s="37" t="str">
        <x:v>未着手</x:v>
      </x:c>
      <x:c r="S88" s="40" t="n">
        <x:f>IF(R88="完了",1,IF(R88="修正中",0.8,IF(R88="Review待ち",0.7,IF(R88="作業中",0.3,0))))</x:f>
        <x:v>0</x:v>
      </x:c>
      <x:c r="T88" s="37" t="str">
        <x:f>IF(AND(R88&lt;&gt;"完了",TODAY()&gt;O88),"遅延","")</x:f>
      </x:c>
      <x:c r="U88" s="37" t="str">
        <x:v>API-RPT-002_日報詳細詳細設計書.xlsx</x:v>
      </x:c>
      <x:c r="V88" s="37" t="str"/>
    </x:row>
    <x:row r="89">
      <x:c r="A89" s="37" t="str">
        <x:v>WP-061-DD</x:v>
      </x:c>
      <x:c r="B89" s="37" t="str">
        <x:v>WP-061</x:v>
      </x:c>
      <x:c r="C89" s="37" t="str">
        <x:v>API-RPT-003</x:v>
      </x:c>
      <x:c r="D89" s="37" t="str">
        <x:v>日報登録</x:v>
      </x:c>
      <x:c r="E89" s="37" t="str">
        <x:v>API</x:v>
      </x:c>
      <x:c r="F89" s="37" t="str">
        <x:v>Spring Boot</x:v>
      </x:c>
      <x:c r="G89" s="37" t="str">
        <x:v>詳細設計</x:v>
      </x:c>
      <x:c r="H89" s="37" t="str">
        <x:v>PG-05</x:v>
      </x:c>
      <x:c r="I89" s="37" t="str">
        <x:v>Project Leader</x:v>
      </x:c>
      <x:c r="J89" s="37" t="str">
        <x:v>-</x:v>
      </x:c>
      <x:c r="K89" s="37" t="n">
        <x:v>14</x:v>
      </x:c>
      <x:c r="L89" s="37" t="n">
        <x:v>2</x:v>
      </x:c>
      <x:c r="M89" s="37" t="n">
        <x:v>2</x:v>
      </x:c>
      <x:c r="N89" s="38" t="n">
        <x:v>46253</x:v>
      </x:c>
      <x:c r="O89" s="38" t="n">
        <x:v>46254</x:v>
      </x:c>
      <x:c r="P89" s="38"/>
      <x:c r="Q89" s="38"/>
      <x:c r="R89" s="37" t="str">
        <x:v>未着手</x:v>
      </x:c>
      <x:c r="S89" s="40" t="n">
        <x:f>IF(R89="完了",1,IF(R89="修正中",0.8,IF(R89="Review待ち",0.7,IF(R89="作業中",0.3,0))))</x:f>
        <x:v>0</x:v>
      </x:c>
      <x:c r="T89" s="37" t="str">
        <x:f>IF(AND(R89&lt;&gt;"完了",TODAY()&gt;O89),"遅延","")</x:f>
      </x:c>
      <x:c r="U89" s="37" t="str">
        <x:v>API-RPT-003_日報登録詳細設計書.xlsx</x:v>
      </x:c>
      <x:c r="V89" s="37" t="str"/>
    </x:row>
    <x:row r="90">
      <x:c r="A90" s="37" t="str">
        <x:v>WP-062-DD</x:v>
      </x:c>
      <x:c r="B90" s="37" t="str">
        <x:v>WP-062</x:v>
      </x:c>
      <x:c r="C90" s="37" t="str">
        <x:v>API-RPT-004</x:v>
      </x:c>
      <x:c r="D90" s="37" t="str">
        <x:v>日報更新</x:v>
      </x:c>
      <x:c r="E90" s="37" t="str">
        <x:v>API</x:v>
      </x:c>
      <x:c r="F90" s="37" t="str">
        <x:v>Spring Boot</x:v>
      </x:c>
      <x:c r="G90" s="37" t="str">
        <x:v>詳細設計</x:v>
      </x:c>
      <x:c r="H90" s="37" t="str">
        <x:v>PG-05</x:v>
      </x:c>
      <x:c r="I90" s="37" t="str">
        <x:v>Project Leader</x:v>
      </x:c>
      <x:c r="J90" s="37" t="str">
        <x:v>-</x:v>
      </x:c>
      <x:c r="K90" s="37" t="n">
        <x:v>14</x:v>
      </x:c>
      <x:c r="L90" s="37" t="n">
        <x:v>2</x:v>
      </x:c>
      <x:c r="M90" s="37" t="n">
        <x:v>2</x:v>
      </x:c>
      <x:c r="N90" s="38" t="n">
        <x:v>46255</x:v>
      </x:c>
      <x:c r="O90" s="38" t="n">
        <x:v>46258</x:v>
      </x:c>
      <x:c r="P90" s="38"/>
      <x:c r="Q90" s="38"/>
      <x:c r="R90" s="37" t="str">
        <x:v>未着手</x:v>
      </x:c>
      <x:c r="S90" s="40" t="n">
        <x:f>IF(R90="完了",1,IF(R90="修正中",0.8,IF(R90="Review待ち",0.7,IF(R90="作業中",0.3,0))))</x:f>
        <x:v>0</x:v>
      </x:c>
      <x:c r="T90" s="37" t="str">
        <x:f>IF(AND(R90&lt;&gt;"完了",TODAY()&gt;O90),"遅延","")</x:f>
      </x:c>
      <x:c r="U90" s="37" t="str">
        <x:v>API-RPT-004_日報更新詳細設計書.xlsx</x:v>
      </x:c>
      <x:c r="V90" s="37" t="str"/>
    </x:row>
    <x:row r="91">
      <x:c r="A91" s="37" t="str">
        <x:v>WP-063-DD</x:v>
      </x:c>
      <x:c r="B91" s="37" t="str">
        <x:v>WP-063</x:v>
      </x:c>
      <x:c r="C91" s="37" t="str">
        <x:v>API-RPT-005</x:v>
      </x:c>
      <x:c r="D91" s="37" t="str">
        <x:v>日報削除</x:v>
      </x:c>
      <x:c r="E91" s="37" t="str">
        <x:v>API</x:v>
      </x:c>
      <x:c r="F91" s="37" t="str">
        <x:v>Spring Boot</x:v>
      </x:c>
      <x:c r="G91" s="37" t="str">
        <x:v>詳細設計</x:v>
      </x:c>
      <x:c r="H91" s="37" t="str">
        <x:v>PG-05</x:v>
      </x:c>
      <x:c r="I91" s="37" t="str">
        <x:v>Project Leader</x:v>
      </x:c>
      <x:c r="J91" s="37" t="str">
        <x:v>-</x:v>
      </x:c>
      <x:c r="K91" s="37" t="n">
        <x:v>14</x:v>
      </x:c>
      <x:c r="L91" s="37" t="n">
        <x:v>2</x:v>
      </x:c>
      <x:c r="M91" s="37" t="n">
        <x:v>2</x:v>
      </x:c>
      <x:c r="N91" s="38" t="n">
        <x:v>46259</x:v>
      </x:c>
      <x:c r="O91" s="38" t="n">
        <x:v>46260</x:v>
      </x:c>
      <x:c r="P91" s="38"/>
      <x:c r="Q91" s="38"/>
      <x:c r="R91" s="37" t="str">
        <x:v>未着手</x:v>
      </x:c>
      <x:c r="S91" s="40" t="n">
        <x:f>IF(R91="完了",1,IF(R91="修正中",0.8,IF(R91="Review待ち",0.7,IF(R91="作業中",0.3,0))))</x:f>
        <x:v>0</x:v>
      </x:c>
      <x:c r="T91" s="37" t="str">
        <x:f>IF(AND(R91&lt;&gt;"完了",TODAY()&gt;O91),"遅延","")</x:f>
      </x:c>
      <x:c r="U91" s="37" t="str">
        <x:v>API-RPT-005_日報削除詳細設計書.xlsx</x:v>
      </x:c>
      <x:c r="V91" s="37" t="str"/>
    </x:row>
    <x:row r="92">
      <x:c r="A92" s="37" t="str">
        <x:v>WP-064-DD</x:v>
      </x:c>
      <x:c r="B92" s="37" t="str">
        <x:v>WP-064</x:v>
      </x:c>
      <x:c r="C92" s="37" t="str">
        <x:v>API-RPT-006</x:v>
      </x:c>
      <x:c r="D92" s="37" t="str">
        <x:v>未提出者検索</x:v>
      </x:c>
      <x:c r="E92" s="37" t="str">
        <x:v>API</x:v>
      </x:c>
      <x:c r="F92" s="37" t="str">
        <x:v>Spring Boot</x:v>
      </x:c>
      <x:c r="G92" s="37" t="str">
        <x:v>詳細設計</x:v>
      </x:c>
      <x:c r="H92" s="37" t="str">
        <x:v>PG-05</x:v>
      </x:c>
      <x:c r="I92" s="37" t="str">
        <x:v>Project Leader</x:v>
      </x:c>
      <x:c r="J92" s="37" t="str">
        <x:v>-</x:v>
      </x:c>
      <x:c r="K92" s="37" t="n">
        <x:v>7</x:v>
      </x:c>
      <x:c r="L92" s="37" t="n">
        <x:v>2</x:v>
      </x:c>
      <x:c r="M92" s="37" t="n">
        <x:v>1</x:v>
      </x:c>
      <x:c r="N92" s="38" t="n">
        <x:v>46261</x:v>
      </x:c>
      <x:c r="O92" s="38" t="n">
        <x:v>46261</x:v>
      </x:c>
      <x:c r="P92" s="38"/>
      <x:c r="Q92" s="38"/>
      <x:c r="R92" s="37" t="str">
        <x:v>未着手</x:v>
      </x:c>
      <x:c r="S92" s="40" t="n">
        <x:f>IF(R92="完了",1,IF(R92="修正中",0.8,IF(R92="Review待ち",0.7,IF(R92="作業中",0.3,0))))</x:f>
        <x:v>0</x:v>
      </x:c>
      <x:c r="T92" s="37" t="str">
        <x:f>IF(AND(R92&lt;&gt;"完了",TODAY()&gt;O92),"遅延","")</x:f>
      </x:c>
      <x:c r="U92" s="37" t="str">
        <x:v>API-RPT-006_未提出者検索詳細設計書.xlsx</x:v>
      </x:c>
      <x:c r="V92" s="37" t="str"/>
    </x:row>
    <x:row r="93">
      <x:c r="A93" s="37" t="str">
        <x:v>WP-065-DD</x:v>
      </x:c>
      <x:c r="B93" s="37" t="str">
        <x:v>WP-065</x:v>
      </x:c>
      <x:c r="C93" s="37" t="str">
        <x:v>API-NTF-001</x:v>
      </x:c>
      <x:c r="D93" s="37" t="str">
        <x:v>通知一覧</x:v>
      </x:c>
      <x:c r="E93" s="37" t="str">
        <x:v>API</x:v>
      </x:c>
      <x:c r="F93" s="37" t="str">
        <x:v>Spring Boot</x:v>
      </x:c>
      <x:c r="G93" s="37" t="str">
        <x:v>詳細設計</x:v>
      </x:c>
      <x:c r="H93" s="37" t="str">
        <x:v>PG-05</x:v>
      </x:c>
      <x:c r="I93" s="37" t="str">
        <x:v>Project Leader</x:v>
      </x:c>
      <x:c r="J93" s="37" t="str">
        <x:v>-</x:v>
      </x:c>
      <x:c r="K93" s="37" t="n">
        <x:v>7</x:v>
      </x:c>
      <x:c r="L93" s="37" t="n">
        <x:v>2</x:v>
      </x:c>
      <x:c r="M93" s="37" t="n">
        <x:v>1</x:v>
      </x:c>
      <x:c r="N93" s="38" t="n">
        <x:v>46262</x:v>
      </x:c>
      <x:c r="O93" s="38" t="n">
        <x:v>46262</x:v>
      </x:c>
      <x:c r="P93" s="38"/>
      <x:c r="Q93" s="38"/>
      <x:c r="R93" s="37" t="str">
        <x:v>未着手</x:v>
      </x:c>
      <x:c r="S93" s="40" t="n">
        <x:f>IF(R93="完了",1,IF(R93="修正中",0.8,IF(R93="Review待ち",0.7,IF(R93="作業中",0.3,0))))</x:f>
        <x:v>0</x:v>
      </x:c>
      <x:c r="T93" s="37" t="str">
        <x:f>IF(AND(R93&lt;&gt;"完了",TODAY()&gt;O93),"遅延","")</x:f>
      </x:c>
      <x:c r="U93" s="37" t="str">
        <x:v>API-NTF-001_通知一覧詳細設計書.xlsx</x:v>
      </x:c>
      <x:c r="V93" s="37" t="str"/>
    </x:row>
    <x:row r="94">
      <x:c r="A94" s="37" t="str">
        <x:v>WP-066-DD</x:v>
      </x:c>
      <x:c r="B94" s="37" t="str">
        <x:v>WP-066</x:v>
      </x:c>
      <x:c r="C94" s="37" t="str">
        <x:v>API-NTF-002</x:v>
      </x:c>
      <x:c r="D94" s="37" t="str">
        <x:v>未読件数</x:v>
      </x:c>
      <x:c r="E94" s="37" t="str">
        <x:v>API</x:v>
      </x:c>
      <x:c r="F94" s="37" t="str">
        <x:v>Spring Boot</x:v>
      </x:c>
      <x:c r="G94" s="37" t="str">
        <x:v>詳細設計</x:v>
      </x:c>
      <x:c r="H94" s="37" t="str">
        <x:v>PG-05</x:v>
      </x:c>
      <x:c r="I94" s="37" t="str">
        <x:v>Project Leader</x:v>
      </x:c>
      <x:c r="J94" s="37" t="str">
        <x:v>-</x:v>
      </x:c>
      <x:c r="K94" s="37" t="n">
        <x:v>7</x:v>
      </x:c>
      <x:c r="L94" s="37" t="n">
        <x:v>2</x:v>
      </x:c>
      <x:c r="M94" s="37" t="n">
        <x:v>1</x:v>
      </x:c>
      <x:c r="N94" s="38" t="n">
        <x:v>46265</x:v>
      </x:c>
      <x:c r="O94" s="38" t="n">
        <x:v>46265</x:v>
      </x:c>
      <x:c r="P94" s="38"/>
      <x:c r="Q94" s="38"/>
      <x:c r="R94" s="37" t="str">
        <x:v>未着手</x:v>
      </x:c>
      <x:c r="S94" s="40" t="n">
        <x:f>IF(R94="完了",1,IF(R94="修正中",0.8,IF(R94="Review待ち",0.7,IF(R94="作業中",0.3,0))))</x:f>
        <x:v>0</x:v>
      </x:c>
      <x:c r="T94" s="37" t="str">
        <x:f>IF(AND(R94&lt;&gt;"完了",TODAY()&gt;O94),"遅延","")</x:f>
      </x:c>
      <x:c r="U94" s="37" t="str">
        <x:v>API-NTF-002_未読件数詳細設計書.xlsx</x:v>
      </x:c>
      <x:c r="V94" s="37" t="str"/>
    </x:row>
    <x:row r="95">
      <x:c r="A95" s="37" t="str">
        <x:v>WP-067-DD</x:v>
      </x:c>
      <x:c r="B95" s="37" t="str">
        <x:v>WP-067</x:v>
      </x:c>
      <x:c r="C95" s="37" t="str">
        <x:v>API-NTF-003</x:v>
      </x:c>
      <x:c r="D95" s="37" t="str">
        <x:v>既読化</x:v>
      </x:c>
      <x:c r="E95" s="37" t="str">
        <x:v>API</x:v>
      </x:c>
      <x:c r="F95" s="37" t="str">
        <x:v>Spring Boot</x:v>
      </x:c>
      <x:c r="G95" s="37" t="str">
        <x:v>詳細設計</x:v>
      </x:c>
      <x:c r="H95" s="37" t="str">
        <x:v>PG-05</x:v>
      </x:c>
      <x:c r="I95" s="37" t="str">
        <x:v>Project Leader</x:v>
      </x:c>
      <x:c r="J95" s="37" t="str">
        <x:v>-</x:v>
      </x:c>
      <x:c r="K95" s="37" t="n">
        <x:v>14</x:v>
      </x:c>
      <x:c r="L95" s="37" t="n">
        <x:v>2</x:v>
      </x:c>
      <x:c r="M95" s="37" t="n">
        <x:v>2</x:v>
      </x:c>
      <x:c r="N95" s="38" t="n">
        <x:v>46266</x:v>
      </x:c>
      <x:c r="O95" s="38" t="n">
        <x:v>46267</x:v>
      </x:c>
      <x:c r="P95" s="38"/>
      <x:c r="Q95" s="38"/>
      <x:c r="R95" s="37" t="str">
        <x:v>未着手</x:v>
      </x:c>
      <x:c r="S95" s="40" t="n">
        <x:f>IF(R95="完了",1,IF(R95="修正中",0.8,IF(R95="Review待ち",0.7,IF(R95="作業中",0.3,0))))</x:f>
        <x:v>0</x:v>
      </x:c>
      <x:c r="T95" s="37" t="str">
        <x:f>IF(AND(R95&lt;&gt;"完了",TODAY()&gt;O95),"遅延","")</x:f>
      </x:c>
      <x:c r="U95" s="37" t="str">
        <x:v>API-NTF-003_既読化詳細設計書.xlsx</x:v>
      </x:c>
      <x:c r="V95" s="37" t="str"/>
    </x:row>
    <x:row r="96">
      <x:c r="A96" s="37" t="str">
        <x:v>WP-068-DD</x:v>
      </x:c>
      <x:c r="B96" s="37" t="str">
        <x:v>WP-068</x:v>
      </x:c>
      <x:c r="C96" s="37" t="str">
        <x:v>API-NTF-004</x:v>
      </x:c>
      <x:c r="D96" s="37" t="str">
        <x:v>全件既読</x:v>
      </x:c>
      <x:c r="E96" s="37" t="str">
        <x:v>API</x:v>
      </x:c>
      <x:c r="F96" s="37" t="str">
        <x:v>Spring Boot</x:v>
      </x:c>
      <x:c r="G96" s="37" t="str">
        <x:v>詳細設計</x:v>
      </x:c>
      <x:c r="H96" s="37" t="str">
        <x:v>PG-05</x:v>
      </x:c>
      <x:c r="I96" s="37" t="str">
        <x:v>Project Leader</x:v>
      </x:c>
      <x:c r="J96" s="37" t="str">
        <x:v>-</x:v>
      </x:c>
      <x:c r="K96" s="37" t="n">
        <x:v>14</x:v>
      </x:c>
      <x:c r="L96" s="37" t="n">
        <x:v>2</x:v>
      </x:c>
      <x:c r="M96" s="37" t="n">
        <x:v>2</x:v>
      </x:c>
      <x:c r="N96" s="38" t="n">
        <x:v>46268</x:v>
      </x:c>
      <x:c r="O96" s="38" t="n">
        <x:v>46269</x:v>
      </x:c>
      <x:c r="P96" s="38"/>
      <x:c r="Q96" s="38"/>
      <x:c r="R96" s="37" t="str">
        <x:v>未着手</x:v>
      </x:c>
      <x:c r="S96" s="40" t="n">
        <x:f>IF(R96="完了",1,IF(R96="修正中",0.8,IF(R96="Review待ち",0.7,IF(R96="作業中",0.3,0))))</x:f>
        <x:v>0</x:v>
      </x:c>
      <x:c r="T96" s="37" t="str">
        <x:f>IF(AND(R96&lt;&gt;"完了",TODAY()&gt;O96),"遅延","")</x:f>
      </x:c>
      <x:c r="U96" s="37" t="str">
        <x:v>API-NTF-004_全件既読詳細設計書.xlsx</x:v>
      </x:c>
      <x:c r="V96" s="37" t="str"/>
    </x:row>
    <x:row r="97">
      <x:c r="A97" s="37" t="str">
        <x:v>WP-087-DD</x:v>
      </x:c>
      <x:c r="B97" s="37" t="str">
        <x:v>WP-087</x:v>
      </x:c>
      <x:c r="C97" s="37" t="str">
        <x:v>SCR-019-VUE</x:v>
      </x:c>
      <x:c r="D97" s="37" t="str">
        <x:v>マイ日報画面（Vue）</x:v>
      </x:c>
      <x:c r="E97" s="37" t="str">
        <x:v>画面</x:v>
      </x:c>
      <x:c r="F97" s="37" t="str">
        <x:v>Vue</x:v>
      </x:c>
      <x:c r="G97" s="37" t="str">
        <x:v>詳細設計</x:v>
      </x:c>
      <x:c r="H97" s="37" t="str">
        <x:v>PG-05</x:v>
      </x:c>
      <x:c r="I97" s="37" t="str">
        <x:v>Project Leader</x:v>
      </x:c>
      <x:c r="J97" s="37" t="str">
        <x:v>-</x:v>
      </x:c>
      <x:c r="K97" s="37" t="n">
        <x:v>7</x:v>
      </x:c>
      <x:c r="L97" s="37" t="n">
        <x:v>2</x:v>
      </x:c>
      <x:c r="M97" s="37" t="n">
        <x:v>1</x:v>
      </x:c>
      <x:c r="N97" s="38" t="n">
        <x:v>46272</x:v>
      </x:c>
      <x:c r="O97" s="38" t="n">
        <x:v>46272</x:v>
      </x:c>
      <x:c r="P97" s="38"/>
      <x:c r="Q97" s="38"/>
      <x:c r="R97" s="37" t="str">
        <x:v>未着手</x:v>
      </x:c>
      <x:c r="S97" s="40" t="n">
        <x:f>IF(R97="完了",1,IF(R97="修正中",0.8,IF(R97="Review待ち",0.7,IF(R97="作業中",0.3,0))))</x:f>
        <x:v>0</x:v>
      </x:c>
      <x:c r="T97" s="37" t="str">
        <x:f>IF(AND(R97&lt;&gt;"完了",TODAY()&gt;O97),"遅延","")</x:f>
      </x:c>
      <x:c r="U97" s="37" t="str">
        <x:v>SCR-019-VUE_マイ日報画面（Vue）詳細設計書.xlsx</x:v>
      </x:c>
      <x:c r="V97" s="37" t="str"/>
    </x:row>
    <x:row r="98">
      <x:c r="A98" s="37" t="str">
        <x:v>WP-088-DD</x:v>
      </x:c>
      <x:c r="B98" s="37" t="str">
        <x:v>WP-088</x:v>
      </x:c>
      <x:c r="C98" s="37" t="str">
        <x:v>SCR-020-VUE</x:v>
      </x:c>
      <x:c r="D98" s="37" t="str">
        <x:v>日報登録画面（Vue）</x:v>
      </x:c>
      <x:c r="E98" s="37" t="str">
        <x:v>画面</x:v>
      </x:c>
      <x:c r="F98" s="37" t="str">
        <x:v>Vue</x:v>
      </x:c>
      <x:c r="G98" s="37" t="str">
        <x:v>詳細設計</x:v>
      </x:c>
      <x:c r="H98" s="37" t="str">
        <x:v>PG-05</x:v>
      </x:c>
      <x:c r="I98" s="37" t="str">
        <x:v>Project Leader</x:v>
      </x:c>
      <x:c r="J98" s="37" t="str">
        <x:v>-</x:v>
      </x:c>
      <x:c r="K98" s="37" t="n">
        <x:v>14</x:v>
      </x:c>
      <x:c r="L98" s="37" t="n">
        <x:v>2</x:v>
      </x:c>
      <x:c r="M98" s="37" t="n">
        <x:v>2</x:v>
      </x:c>
      <x:c r="N98" s="38" t="n">
        <x:v>46273</x:v>
      </x:c>
      <x:c r="O98" s="38" t="n">
        <x:v>46274</x:v>
      </x:c>
      <x:c r="P98" s="38"/>
      <x:c r="Q98" s="38"/>
      <x:c r="R98" s="37" t="str">
        <x:v>未着手</x:v>
      </x:c>
      <x:c r="S98" s="40" t="n">
        <x:f>IF(R98="完了",1,IF(R98="修正中",0.8,IF(R98="Review待ち",0.7,IF(R98="作業中",0.3,0))))</x:f>
        <x:v>0</x:v>
      </x:c>
      <x:c r="T98" s="37" t="str">
        <x:f>IF(AND(R98&lt;&gt;"完了",TODAY()&gt;O98),"遅延","")</x:f>
      </x:c>
      <x:c r="U98" s="37" t="str">
        <x:v>SCR-020-VUE_日報登録画面（Vue）詳細設計書.xlsx</x:v>
      </x:c>
      <x:c r="V98" s="37" t="str"/>
    </x:row>
    <x:row r="99">
      <x:c r="A99" s="37" t="str">
        <x:v>WP-089-DD</x:v>
      </x:c>
      <x:c r="B99" s="37" t="str">
        <x:v>WP-089</x:v>
      </x:c>
      <x:c r="C99" s="37" t="str">
        <x:v>SCR-021-VUE</x:v>
      </x:c>
      <x:c r="D99" s="37" t="str">
        <x:v>日報検索画面（Vue）</x:v>
      </x:c>
      <x:c r="E99" s="37" t="str">
        <x:v>画面</x:v>
      </x:c>
      <x:c r="F99" s="37" t="str">
        <x:v>Vue</x:v>
      </x:c>
      <x:c r="G99" s="37" t="str">
        <x:v>詳細設計</x:v>
      </x:c>
      <x:c r="H99" s="37" t="str">
        <x:v>PG-05</x:v>
      </x:c>
      <x:c r="I99" s="37" t="str">
        <x:v>Project Leader</x:v>
      </x:c>
      <x:c r="J99" s="37" t="str">
        <x:v>-</x:v>
      </x:c>
      <x:c r="K99" s="37" t="n">
        <x:v>7</x:v>
      </x:c>
      <x:c r="L99" s="37" t="n">
        <x:v>2</x:v>
      </x:c>
      <x:c r="M99" s="37" t="n">
        <x:v>1</x:v>
      </x:c>
      <x:c r="N99" s="38" t="n">
        <x:v>46275</x:v>
      </x:c>
      <x:c r="O99" s="38" t="n">
        <x:v>46275</x:v>
      </x:c>
      <x:c r="P99" s="38"/>
      <x:c r="Q99" s="38"/>
      <x:c r="R99" s="37" t="str">
        <x:v>未着手</x:v>
      </x:c>
      <x:c r="S99" s="40" t="n">
        <x:f>IF(R99="完了",1,IF(R99="修正中",0.8,IF(R99="Review待ち",0.7,IF(R99="作業中",0.3,0))))</x:f>
        <x:v>0</x:v>
      </x:c>
      <x:c r="T99" s="37" t="str">
        <x:f>IF(AND(R99&lt;&gt;"完了",TODAY()&gt;O99),"遅延","")</x:f>
      </x:c>
      <x:c r="U99" s="37" t="str">
        <x:v>SCR-021-VUE_日報検索画面（Vue）詳細設計書.xlsx</x:v>
      </x:c>
      <x:c r="V99" s="37" t="str"/>
    </x:row>
    <x:row r="100">
      <x:c r="A100" s="37" t="str">
        <x:v>WP-090-DD</x:v>
      </x:c>
      <x:c r="B100" s="37" t="str">
        <x:v>WP-090</x:v>
      </x:c>
      <x:c r="C100" s="37" t="str">
        <x:v>SCR-022-VUE</x:v>
      </x:c>
      <x:c r="D100" s="37" t="str">
        <x:v>通知一覧画面（Vue）</x:v>
      </x:c>
      <x:c r="E100" s="37" t="str">
        <x:v>画面</x:v>
      </x:c>
      <x:c r="F100" s="37" t="str">
        <x:v>Vue</x:v>
      </x:c>
      <x:c r="G100" s="37" t="str">
        <x:v>詳細設計</x:v>
      </x:c>
      <x:c r="H100" s="37" t="str">
        <x:v>PG-05</x:v>
      </x:c>
      <x:c r="I100" s="37" t="str">
        <x:v>Project Leader</x:v>
      </x:c>
      <x:c r="J100" s="37" t="str">
        <x:v>-</x:v>
      </x:c>
      <x:c r="K100" s="37" t="n">
        <x:v>7</x:v>
      </x:c>
      <x:c r="L100" s="37" t="n">
        <x:v>2</x:v>
      </x:c>
      <x:c r="M100" s="37" t="n">
        <x:v>1</x:v>
      </x:c>
      <x:c r="N100" s="38" t="n">
        <x:v>46276</x:v>
      </x:c>
      <x:c r="O100" s="38" t="n">
        <x:v>46276</x:v>
      </x:c>
      <x:c r="P100" s="38"/>
      <x:c r="Q100" s="38"/>
      <x:c r="R100" s="37" t="str">
        <x:v>未着手</x:v>
      </x:c>
      <x:c r="S100" s="40" t="n">
        <x:f>IF(R100="完了",1,IF(R100="修正中",0.8,IF(R100="Review待ち",0.7,IF(R100="作業中",0.3,0))))</x:f>
        <x:v>0</x:v>
      </x:c>
      <x:c r="T100" s="37" t="str">
        <x:f>IF(AND(R100&lt;&gt;"完了",TODAY()&gt;O100),"遅延","")</x:f>
      </x:c>
      <x:c r="U100" s="37" t="str">
        <x:v>SCR-022-VUE_通知一覧画面（Vue）詳細設計書.xlsx</x:v>
      </x:c>
      <x:c r="V100" s="37" t="str"/>
    </x:row>
    <x:row r="101">
      <x:c r="A101" s="37" t="str">
        <x:v>WP-095-DD</x:v>
      </x:c>
      <x:c r="B101" s="37" t="str">
        <x:v>WP-095</x:v>
      </x:c>
      <x:c r="C101" s="37" t="str">
        <x:v>BATCH-001</x:v>
      </x:c>
      <x:c r="D101" s="37" t="str">
        <x:v>期限前Task通知</x:v>
      </x:c>
      <x:c r="E101" s="37" t="str">
        <x:v>Batch</x:v>
      </x:c>
      <x:c r="F101" s="37" t="str">
        <x:v>Spring Batch</x:v>
      </x:c>
      <x:c r="G101" s="37" t="str">
        <x:v>詳細設計</x:v>
      </x:c>
      <x:c r="H101" s="37" t="str">
        <x:v>PG-05</x:v>
      </x:c>
      <x:c r="I101" s="37" t="str">
        <x:v>Project Leader</x:v>
      </x:c>
      <x:c r="J101" s="37" t="str">
        <x:v>-</x:v>
      </x:c>
      <x:c r="K101" s="37" t="n">
        <x:v>21</x:v>
      </x:c>
      <x:c r="L101" s="37" t="n">
        <x:v>2</x:v>
      </x:c>
      <x:c r="M101" s="37" t="n">
        <x:v>3</x:v>
      </x:c>
      <x:c r="N101" s="38" t="n">
        <x:v>46279</x:v>
      </x:c>
      <x:c r="O101" s="38" t="n">
        <x:v>46281</x:v>
      </x:c>
      <x:c r="P101" s="38"/>
      <x:c r="Q101" s="38"/>
      <x:c r="R101" s="37" t="str">
        <x:v>未着手</x:v>
      </x:c>
      <x:c r="S101" s="40" t="n">
        <x:f>IF(R101="完了",1,IF(R101="修正中",0.8,IF(R101="Review待ち",0.7,IF(R101="作業中",0.3,0))))</x:f>
        <x:v>0</x:v>
      </x:c>
      <x:c r="T101" s="37" t="str">
        <x:f>IF(AND(R101&lt;&gt;"完了",TODAY()&gt;O101),"遅延","")</x:f>
      </x:c>
      <x:c r="U101" s="37" t="str">
        <x:v>BATCH-001_期限前Task通知詳細設計書.xlsx</x:v>
      </x:c>
      <x:c r="V101" s="37" t="str"/>
    </x:row>
    <x:row r="102">
      <x:c r="A102" s="37" t="str">
        <x:v>WP-096-DD</x:v>
      </x:c>
      <x:c r="B102" s="37" t="str">
        <x:v>WP-096</x:v>
      </x:c>
      <x:c r="C102" s="37" t="str">
        <x:v>BATCH-002</x:v>
      </x:c>
      <x:c r="D102" s="37" t="str">
        <x:v>遅延Task確認</x:v>
      </x:c>
      <x:c r="E102" s="37" t="str">
        <x:v>Batch</x:v>
      </x:c>
      <x:c r="F102" s="37" t="str">
        <x:v>Spring Batch</x:v>
      </x:c>
      <x:c r="G102" s="37" t="str">
        <x:v>詳細設計</x:v>
      </x:c>
      <x:c r="H102" s="37" t="str">
        <x:v>PG-05</x:v>
      </x:c>
      <x:c r="I102" s="37" t="str">
        <x:v>Project Leader</x:v>
      </x:c>
      <x:c r="J102" s="37" t="str">
        <x:v>-</x:v>
      </x:c>
      <x:c r="K102" s="37" t="n">
        <x:v>21</x:v>
      </x:c>
      <x:c r="L102" s="37" t="n">
        <x:v>2</x:v>
      </x:c>
      <x:c r="M102" s="37" t="n">
        <x:v>3</x:v>
      </x:c>
      <x:c r="N102" s="38" t="n">
        <x:v>46282</x:v>
      </x:c>
      <x:c r="O102" s="38" t="n">
        <x:v>46289</x:v>
      </x:c>
      <x:c r="P102" s="38"/>
      <x:c r="Q102" s="38"/>
      <x:c r="R102" s="37" t="str">
        <x:v>未着手</x:v>
      </x:c>
      <x:c r="S102" s="40" t="n">
        <x:f>IF(R102="完了",1,IF(R102="修正中",0.8,IF(R102="Review待ち",0.7,IF(R102="作業中",0.3,0))))</x:f>
        <x:v>0</x:v>
      </x:c>
      <x:c r="T102" s="37" t="str">
        <x:f>IF(AND(R102&lt;&gt;"完了",TODAY()&gt;O102),"遅延","")</x:f>
      </x:c>
      <x:c r="U102" s="37" t="str">
        <x:v>BATCH-002_遅延Task確認詳細設計書.xlsx</x:v>
      </x:c>
      <x:c r="V102" s="37" t="str"/>
    </x:row>
    <x:row r="103">
      <x:c r="A103" s="37" t="str">
        <x:v>WP-097-DD</x:v>
      </x:c>
      <x:c r="B103" s="37" t="str">
        <x:v>WP-097</x:v>
      </x:c>
      <x:c r="C103" s="37" t="str">
        <x:v>BATCH-003</x:v>
      </x:c>
      <x:c r="D103" s="37" t="str">
        <x:v>日報未提出通知</x:v>
      </x:c>
      <x:c r="E103" s="37" t="str">
        <x:v>Batch</x:v>
      </x:c>
      <x:c r="F103" s="37" t="str">
        <x:v>Spring Batch</x:v>
      </x:c>
      <x:c r="G103" s="37" t="str">
        <x:v>詳細設計</x:v>
      </x:c>
      <x:c r="H103" s="37" t="str">
        <x:v>PG-05</x:v>
      </x:c>
      <x:c r="I103" s="37" t="str">
        <x:v>Project Leader</x:v>
      </x:c>
      <x:c r="J103" s="37" t="str">
        <x:v>-</x:v>
      </x:c>
      <x:c r="K103" s="37" t="n">
        <x:v>21</x:v>
      </x:c>
      <x:c r="L103" s="37" t="n">
        <x:v>2</x:v>
      </x:c>
      <x:c r="M103" s="37" t="n">
        <x:v>3</x:v>
      </x:c>
      <x:c r="N103" s="38" t="n">
        <x:v>46290</x:v>
      </x:c>
      <x:c r="O103" s="38" t="n">
        <x:v>46294</x:v>
      </x:c>
      <x:c r="P103" s="38"/>
      <x:c r="Q103" s="38"/>
      <x:c r="R103" s="37" t="str">
        <x:v>未着手</x:v>
      </x:c>
      <x:c r="S103" s="40" t="n">
        <x:f>IF(R103="完了",1,IF(R103="修正中",0.8,IF(R103="Review待ち",0.7,IF(R103="作業中",0.3,0))))</x:f>
        <x:v>0</x:v>
      </x:c>
      <x:c r="T103" s="37" t="str">
        <x:f>IF(AND(R103&lt;&gt;"完了",TODAY()&gt;O103),"遅延","")</x:f>
      </x:c>
      <x:c r="U103" s="37" t="str">
        <x:v>BATCH-003_日報未提出通知詳細設計書.xlsx</x:v>
      </x:c>
      <x:c r="V103" s="37" t="str"/>
    </x:row>
    <x:row r="104">
      <x:c r="A104" s="37" t="str">
        <x:v>WP-098-DD</x:v>
      </x:c>
      <x:c r="B104" s="37" t="str">
        <x:v>WP-098</x:v>
      </x:c>
      <x:c r="C104" s="37" t="str">
        <x:v>BATCH-004</x:v>
      </x:c>
      <x:c r="D104" s="37" t="str">
        <x:v>既読通知削除</x:v>
      </x:c>
      <x:c r="E104" s="37" t="str">
        <x:v>Batch</x:v>
      </x:c>
      <x:c r="F104" s="37" t="str">
        <x:v>Spring Batch</x:v>
      </x:c>
      <x:c r="G104" s="37" t="str">
        <x:v>詳細設計</x:v>
      </x:c>
      <x:c r="H104" s="37" t="str">
        <x:v>PG-05</x:v>
      </x:c>
      <x:c r="I104" s="37" t="str">
        <x:v>Project Leader</x:v>
      </x:c>
      <x:c r="J104" s="37" t="str">
        <x:v>-</x:v>
      </x:c>
      <x:c r="K104" s="37" t="n">
        <x:v>14</x:v>
      </x:c>
      <x:c r="L104" s="37" t="n">
        <x:v>2</x:v>
      </x:c>
      <x:c r="M104" s="37" t="n">
        <x:v>2</x:v>
      </x:c>
      <x:c r="N104" s="38" t="n">
        <x:v>46295</x:v>
      </x:c>
      <x:c r="O104" s="38" t="n">
        <x:v>46296</x:v>
      </x:c>
      <x:c r="P104" s="38"/>
      <x:c r="Q104" s="38"/>
      <x:c r="R104" s="37" t="str">
        <x:v>未着手</x:v>
      </x:c>
      <x:c r="S104" s="40" t="n">
        <x:f>IF(R104="完了",1,IF(R104="修正中",0.8,IF(R104="Review待ち",0.7,IF(R104="作業中",0.3,0))))</x:f>
        <x:v>0</x:v>
      </x:c>
      <x:c r="T104" s="37" t="str">
        <x:f>IF(AND(R104&lt;&gt;"完了",TODAY()&gt;O104),"遅延","")</x:f>
      </x:c>
      <x:c r="U104" s="37" t="str">
        <x:v>BATCH-004_既読通知削除詳細設計書.xlsx</x:v>
      </x:c>
      <x:c r="V104" s="37" t="str"/>
    </x:row>
    <x:row r="105">
      <x:c r="A105" s="37" t="str">
        <x:v>WP-099-DD</x:v>
      </x:c>
      <x:c r="B105" s="37" t="str">
        <x:v>WP-099</x:v>
      </x:c>
      <x:c r="C105" s="37" t="str">
        <x:v>BATCH-005</x:v>
      </x:c>
      <x:c r="D105" s="37" t="str">
        <x:v>監査Log削除</x:v>
      </x:c>
      <x:c r="E105" s="37" t="str">
        <x:v>Batch</x:v>
      </x:c>
      <x:c r="F105" s="37" t="str">
        <x:v>Spring Batch</x:v>
      </x:c>
      <x:c r="G105" s="37" t="str">
        <x:v>詳細設計</x:v>
      </x:c>
      <x:c r="H105" s="37" t="str">
        <x:v>PG-05</x:v>
      </x:c>
      <x:c r="I105" s="37" t="str">
        <x:v>Project Leader</x:v>
      </x:c>
      <x:c r="J105" s="37" t="str">
        <x:v>-</x:v>
      </x:c>
      <x:c r="K105" s="37" t="n">
        <x:v>14</x:v>
      </x:c>
      <x:c r="L105" s="37" t="n">
        <x:v>2</x:v>
      </x:c>
      <x:c r="M105" s="37" t="n">
        <x:v>2</x:v>
      </x:c>
      <x:c r="N105" s="38" t="n">
        <x:v>46297</x:v>
      </x:c>
      <x:c r="O105" s="38" t="n">
        <x:v>46300</x:v>
      </x:c>
      <x:c r="P105" s="38"/>
      <x:c r="Q105" s="38"/>
      <x:c r="R105" s="37" t="str">
        <x:v>未着手</x:v>
      </x:c>
      <x:c r="S105" s="40" t="n">
        <x:f>IF(R105="完了",1,IF(R105="修正中",0.8,IF(R105="Review待ち",0.7,IF(R105="作業中",0.3,0))))</x:f>
        <x:v>0</x:v>
      </x:c>
      <x:c r="T105" s="37" t="str">
        <x:f>IF(AND(R105&lt;&gt;"完了",TODAY()&gt;O105),"遅延","")</x:f>
      </x:c>
      <x:c r="U105" s="37" t="str">
        <x:v>BATCH-005_監査Log削除詳細設計書.xlsx</x:v>
      </x:c>
      <x:c r="V105" s="37" t="str"/>
    </x:row>
    <x:row r="106">
      <x:c r="A106" s="37" t="str">
        <x:v>WP-100-DD</x:v>
      </x:c>
      <x:c r="B106" s="37" t="str">
        <x:v>WP-100</x:v>
      </x:c>
      <x:c r="C106" s="37" t="str">
        <x:v>BATCH-006</x:v>
      </x:c>
      <x:c r="D106" s="37" t="str">
        <x:v>Refresh Token削除</x:v>
      </x:c>
      <x:c r="E106" s="37" t="str">
        <x:v>Batch</x:v>
      </x:c>
      <x:c r="F106" s="37" t="str">
        <x:v>Spring Batch</x:v>
      </x:c>
      <x:c r="G106" s="37" t="str">
        <x:v>詳細設計</x:v>
      </x:c>
      <x:c r="H106" s="37" t="str">
        <x:v>PG-05</x:v>
      </x:c>
      <x:c r="I106" s="37" t="str">
        <x:v>Project Leader</x:v>
      </x:c>
      <x:c r="J106" s="37" t="str">
        <x:v>-</x:v>
      </x:c>
      <x:c r="K106" s="37" t="n">
        <x:v>14</x:v>
      </x:c>
      <x:c r="L106" s="37" t="n">
        <x:v>2</x:v>
      </x:c>
      <x:c r="M106" s="37" t="n">
        <x:v>2</x:v>
      </x:c>
      <x:c r="N106" s="38" t="n">
        <x:v>46301</x:v>
      </x:c>
      <x:c r="O106" s="38" t="n">
        <x:v>46302</x:v>
      </x:c>
      <x:c r="P106" s="38"/>
      <x:c r="Q106" s="38"/>
      <x:c r="R106" s="37" t="str">
        <x:v>未着手</x:v>
      </x:c>
      <x:c r="S106" s="40" t="n">
        <x:f>IF(R106="完了",1,IF(R106="修正中",0.8,IF(R106="Review待ち",0.7,IF(R106="作業中",0.3,0))))</x:f>
        <x:v>0</x:v>
      </x:c>
      <x:c r="T106" s="37" t="str">
        <x:f>IF(AND(R106&lt;&gt;"完了",TODAY()&gt;O106),"遅延","")</x:f>
      </x:c>
      <x:c r="U106" s="37" t="str">
        <x:v>BATCH-006_Refresh Token削除詳細設計書.xlsx</x:v>
      </x:c>
      <x:c r="V106" s="37" t="str"/>
    </x:row>
    <x:row r="107">
      <x:c r="A107" s="37" t="str">
        <x:v>WP-001-CD</x:v>
      </x:c>
      <x:c r="B107" s="37" t="str">
        <x:v>WP-001</x:v>
      </x:c>
      <x:c r="C107" s="37" t="str">
        <x:v>COM-BE-001</x:v>
      </x:c>
      <x:c r="D107" s="37" t="str">
        <x:v>Backend共通基盤</x:v>
      </x:c>
      <x:c r="E107" s="37" t="str">
        <x:v>共通</x:v>
      </x:c>
      <x:c r="F107" s="37" t="str">
        <x:v>Backend/共通</x:v>
      </x:c>
      <x:c r="G107" s="37" t="str">
        <x:v>Coding</x:v>
      </x:c>
      <x:c r="H107" s="37" t="str">
        <x:v>PG-01</x:v>
      </x:c>
      <x:c r="I107" s="37" t="str">
        <x:v>Project Leader</x:v>
      </x:c>
      <x:c r="J107" s="37" t="str">
        <x:v>WP-001-DD</x:v>
      </x:c>
      <x:c r="K107" s="37" t="n">
        <x:v>28</x:v>
      </x:c>
      <x:c r="L107" s="37" t="n">
        <x:v>2</x:v>
      </x:c>
      <x:c r="M107" s="37" t="n">
        <x:v>4</x:v>
      </x:c>
      <x:c r="N107" s="38" t="n">
        <x:v>46315</x:v>
      </x:c>
      <x:c r="O107" s="38" t="n">
        <x:v>46318</x:v>
      </x:c>
      <x:c r="P107" s="38"/>
      <x:c r="Q107" s="38"/>
      <x:c r="R107" s="37" t="str">
        <x:v>未着手</x:v>
      </x:c>
      <x:c r="S107" s="40" t="n">
        <x:f>IF(R107="完了",1,IF(R107="修正中",0.8,IF(R107="Review待ち",0.7,IF(R107="作業中",0.3,0))))</x:f>
        <x:v>0</x:v>
      </x:c>
      <x:c r="T107" s="37" t="str">
        <x:f>IF(AND(R107&lt;&gt;"完了",TODAY()&gt;O107),"遅延","")</x:f>
      </x:c>
      <x:c r="U107" s="37" t="str">
        <x:v>COM-BE-001 Source Code</x:v>
      </x:c>
      <x:c r="V107" s="37" t="str"/>
    </x:row>
    <x:row r="108">
      <x:c r="A108" s="37" t="str">
        <x:v>WP-002-CD</x:v>
      </x:c>
      <x:c r="B108" s="37" t="str">
        <x:v>WP-002</x:v>
      </x:c>
      <x:c r="C108" s="37" t="str">
        <x:v>COM-SEC-001</x:v>
      </x:c>
      <x:c r="D108" s="37" t="str">
        <x:v>認証・Security共通</x:v>
      </x:c>
      <x:c r="E108" s="37" t="str">
        <x:v>共通</x:v>
      </x:c>
      <x:c r="F108" s="37" t="str">
        <x:v>Backend/共通</x:v>
      </x:c>
      <x:c r="G108" s="37" t="str">
        <x:v>Coding</x:v>
      </x:c>
      <x:c r="H108" s="37" t="str">
        <x:v>PG-01</x:v>
      </x:c>
      <x:c r="I108" s="37" t="str">
        <x:v>Project Leader</x:v>
      </x:c>
      <x:c r="J108" s="37" t="str">
        <x:v>WP-002-DD</x:v>
      </x:c>
      <x:c r="K108" s="37" t="n">
        <x:v>28</x:v>
      </x:c>
      <x:c r="L108" s="37" t="n">
        <x:v>2</x:v>
      </x:c>
      <x:c r="M108" s="37" t="n">
        <x:v>4</x:v>
      </x:c>
      <x:c r="N108" s="38" t="n">
        <x:v>46321</x:v>
      </x:c>
      <x:c r="O108" s="38" t="n">
        <x:v>46324</x:v>
      </x:c>
      <x:c r="P108" s="38"/>
      <x:c r="Q108" s="38"/>
      <x:c r="R108" s="37" t="str">
        <x:v>未着手</x:v>
      </x:c>
      <x:c r="S108" s="40" t="n">
        <x:f>IF(R108="完了",1,IF(R108="修正中",0.8,IF(R108="Review待ち",0.7,IF(R108="作業中",0.3,0))))</x:f>
        <x:v>0</x:v>
      </x:c>
      <x:c r="T108" s="37" t="str">
        <x:f>IF(AND(R108&lt;&gt;"完了",TODAY()&gt;O108),"遅延","")</x:f>
      </x:c>
      <x:c r="U108" s="37" t="str">
        <x:v>COM-SEC-001 Source Code</x:v>
      </x:c>
      <x:c r="V108" s="37" t="str"/>
    </x:row>
    <x:row r="109">
      <x:c r="A109" s="37" t="str">
        <x:v>WP-007-CD</x:v>
      </x:c>
      <x:c r="B109" s="37" t="str">
        <x:v>WP-007</x:v>
      </x:c>
      <x:c r="C109" s="37" t="str">
        <x:v>API-AUTH-001</x:v>
      </x:c>
      <x:c r="D109" s="37" t="str">
        <x:v>ログイン</x:v>
      </x:c>
      <x:c r="E109" s="37" t="str">
        <x:v>API</x:v>
      </x:c>
      <x:c r="F109" s="37" t="str">
        <x:v>Spring Boot</x:v>
      </x:c>
      <x:c r="G109" s="37" t="str">
        <x:v>Coding</x:v>
      </x:c>
      <x:c r="H109" s="37" t="str">
        <x:v>PG-01</x:v>
      </x:c>
      <x:c r="I109" s="37" t="str">
        <x:v>Project Leader</x:v>
      </x:c>
      <x:c r="J109" s="37" t="str">
        <x:v>WP-007-DD</x:v>
      </x:c>
      <x:c r="K109" s="37" t="n">
        <x:v>21</x:v>
      </x:c>
      <x:c r="L109" s="37" t="n">
        <x:v>2</x:v>
      </x:c>
      <x:c r="M109" s="37" t="n">
        <x:v>3</x:v>
      </x:c>
      <x:c r="N109" s="38" t="n">
        <x:v>46325</x:v>
      </x:c>
      <x:c r="O109" s="38" t="n">
        <x:v>46330</x:v>
      </x:c>
      <x:c r="P109" s="38"/>
      <x:c r="Q109" s="38"/>
      <x:c r="R109" s="37" t="str">
        <x:v>未着手</x:v>
      </x:c>
      <x:c r="S109" s="40" t="n">
        <x:f>IF(R109="完了",1,IF(R109="修正中",0.8,IF(R109="Review待ち",0.7,IF(R109="作業中",0.3,0))))</x:f>
        <x:v>0</x:v>
      </x:c>
      <x:c r="T109" s="37" t="str">
        <x:f>IF(AND(R109&lt;&gt;"完了",TODAY()&gt;O109),"遅延","")</x:f>
      </x:c>
      <x:c r="U109" s="37" t="str">
        <x:v>API-AUTH-001 Source Code</x:v>
      </x:c>
      <x:c r="V109" s="37" t="str"/>
    </x:row>
    <x:row r="110">
      <x:c r="A110" s="37" t="str">
        <x:v>WP-008-CD</x:v>
      </x:c>
      <x:c r="B110" s="37" t="str">
        <x:v>WP-008</x:v>
      </x:c>
      <x:c r="C110" s="37" t="str">
        <x:v>API-AUTH-002</x:v>
      </x:c>
      <x:c r="D110" s="37" t="str">
        <x:v>ログアウト</x:v>
      </x:c>
      <x:c r="E110" s="37" t="str">
        <x:v>API</x:v>
      </x:c>
      <x:c r="F110" s="37" t="str">
        <x:v>Spring Boot</x:v>
      </x:c>
      <x:c r="G110" s="37" t="str">
        <x:v>Coding</x:v>
      </x:c>
      <x:c r="H110" s="37" t="str">
        <x:v>PG-01</x:v>
      </x:c>
      <x:c r="I110" s="37" t="str">
        <x:v>Project Leader</x:v>
      </x:c>
      <x:c r="J110" s="37" t="str">
        <x:v>WP-008-DD</x:v>
      </x:c>
      <x:c r="K110" s="37" t="n">
        <x:v>21</x:v>
      </x:c>
      <x:c r="L110" s="37" t="n">
        <x:v>2</x:v>
      </x:c>
      <x:c r="M110" s="37" t="n">
        <x:v>3</x:v>
      </x:c>
      <x:c r="N110" s="38" t="n">
        <x:v>46331</x:v>
      </x:c>
      <x:c r="O110" s="38" t="n">
        <x:v>46335</x:v>
      </x:c>
      <x:c r="P110" s="38"/>
      <x:c r="Q110" s="38"/>
      <x:c r="R110" s="37" t="str">
        <x:v>未着手</x:v>
      </x:c>
      <x:c r="S110" s="40" t="n">
        <x:f>IF(R110="完了",1,IF(R110="修正中",0.8,IF(R110="Review待ち",0.7,IF(R110="作業中",0.3,0))))</x:f>
        <x:v>0</x:v>
      </x:c>
      <x:c r="T110" s="37" t="str">
        <x:f>IF(AND(R110&lt;&gt;"完了",TODAY()&gt;O110),"遅延","")</x:f>
      </x:c>
      <x:c r="U110" s="37" t="str">
        <x:v>API-AUTH-002 Source Code</x:v>
      </x:c>
      <x:c r="V110" s="37" t="str"/>
    </x:row>
    <x:row r="111">
      <x:c r="A111" s="37" t="str">
        <x:v>WP-009-CD</x:v>
      </x:c>
      <x:c r="B111" s="37" t="str">
        <x:v>WP-009</x:v>
      </x:c>
      <x:c r="C111" s="37" t="str">
        <x:v>API-AUTH-003</x:v>
      </x:c>
      <x:c r="D111" s="37" t="str">
        <x:v>Token更新</x:v>
      </x:c>
      <x:c r="E111" s="37" t="str">
        <x:v>API</x:v>
      </x:c>
      <x:c r="F111" s="37" t="str">
        <x:v>Spring Boot</x:v>
      </x:c>
      <x:c r="G111" s="37" t="str">
        <x:v>Coding</x:v>
      </x:c>
      <x:c r="H111" s="37" t="str">
        <x:v>PG-01</x:v>
      </x:c>
      <x:c r="I111" s="37" t="str">
        <x:v>Project Leader</x:v>
      </x:c>
      <x:c r="J111" s="37" t="str">
        <x:v>WP-009-DD</x:v>
      </x:c>
      <x:c r="K111" s="37" t="n">
        <x:v>28</x:v>
      </x:c>
      <x:c r="L111" s="37" t="n">
        <x:v>2</x:v>
      </x:c>
      <x:c r="M111" s="37" t="n">
        <x:v>4</x:v>
      </x:c>
      <x:c r="N111" s="38" t="n">
        <x:v>46336</x:v>
      </x:c>
      <x:c r="O111" s="38" t="n">
        <x:v>46339</x:v>
      </x:c>
      <x:c r="P111" s="38"/>
      <x:c r="Q111" s="38"/>
      <x:c r="R111" s="37" t="str">
        <x:v>未着手</x:v>
      </x:c>
      <x:c r="S111" s="40" t="n">
        <x:f>IF(R111="完了",1,IF(R111="修正中",0.8,IF(R111="Review待ち",0.7,IF(R111="作業中",0.3,0))))</x:f>
        <x:v>0</x:v>
      </x:c>
      <x:c r="T111" s="37" t="str">
        <x:f>IF(AND(R111&lt;&gt;"完了",TODAY()&gt;O111),"遅延","")</x:f>
      </x:c>
      <x:c r="U111" s="37" t="str">
        <x:v>API-AUTH-003 Source Code</x:v>
      </x:c>
      <x:c r="V111" s="37" t="str"/>
    </x:row>
    <x:row r="112">
      <x:c r="A112" s="37" t="str">
        <x:v>WP-010-CD</x:v>
      </x:c>
      <x:c r="B112" s="37" t="str">
        <x:v>WP-010</x:v>
      </x:c>
      <x:c r="C112" s="37" t="str">
        <x:v>API-AUTH-004</x:v>
      </x:c>
      <x:c r="D112" s="37" t="str">
        <x:v>現在ユーザー取得</x:v>
      </x:c>
      <x:c r="E112" s="37" t="str">
        <x:v>API</x:v>
      </x:c>
      <x:c r="F112" s="37" t="str">
        <x:v>Spring Boot</x:v>
      </x:c>
      <x:c r="G112" s="37" t="str">
        <x:v>Coding</x:v>
      </x:c>
      <x:c r="H112" s="37" t="str">
        <x:v>PG-01</x:v>
      </x:c>
      <x:c r="I112" s="37" t="str">
        <x:v>Project Leader</x:v>
      </x:c>
      <x:c r="J112" s="37" t="str">
        <x:v>WP-010-DD</x:v>
      </x:c>
      <x:c r="K112" s="37" t="n">
        <x:v>14</x:v>
      </x:c>
      <x:c r="L112" s="37" t="n">
        <x:v>2</x:v>
      </x:c>
      <x:c r="M112" s="37" t="n">
        <x:v>2</x:v>
      </x:c>
      <x:c r="N112" s="38" t="n">
        <x:v>46342</x:v>
      </x:c>
      <x:c r="O112" s="38" t="n">
        <x:v>46343</x:v>
      </x:c>
      <x:c r="P112" s="38"/>
      <x:c r="Q112" s="38"/>
      <x:c r="R112" s="37" t="str">
        <x:v>未着手</x:v>
      </x:c>
      <x:c r="S112" s="40" t="n">
        <x:f>IF(R112="完了",1,IF(R112="修正中",0.8,IF(R112="Review待ち",0.7,IF(R112="作業中",0.3,0))))</x:f>
        <x:v>0</x:v>
      </x:c>
      <x:c r="T112" s="37" t="str">
        <x:f>IF(AND(R112&lt;&gt;"完了",TODAY()&gt;O112),"遅延","")</x:f>
      </x:c>
      <x:c r="U112" s="37" t="str">
        <x:v>API-AUTH-004 Source Code</x:v>
      </x:c>
      <x:c r="V112" s="37" t="str"/>
    </x:row>
    <x:row r="113">
      <x:c r="A113" s="37" t="str">
        <x:v>WP-011-CD</x:v>
      </x:c>
      <x:c r="B113" s="37" t="str">
        <x:v>WP-011</x:v>
      </x:c>
      <x:c r="C113" s="37" t="str">
        <x:v>API-AUTH-005</x:v>
      </x:c>
      <x:c r="D113" s="37" t="str">
        <x:v>パスワード変更</x:v>
      </x:c>
      <x:c r="E113" s="37" t="str">
        <x:v>API</x:v>
      </x:c>
      <x:c r="F113" s="37" t="str">
        <x:v>Spring Boot</x:v>
      </x:c>
      <x:c r="G113" s="37" t="str">
        <x:v>Coding</x:v>
      </x:c>
      <x:c r="H113" s="37" t="str">
        <x:v>PG-01</x:v>
      </x:c>
      <x:c r="I113" s="37" t="str">
        <x:v>Project Leader</x:v>
      </x:c>
      <x:c r="J113" s="37" t="str">
        <x:v>WP-011-DD</x:v>
      </x:c>
      <x:c r="K113" s="37" t="n">
        <x:v>21</x:v>
      </x:c>
      <x:c r="L113" s="37" t="n">
        <x:v>2</x:v>
      </x:c>
      <x:c r="M113" s="37" t="n">
        <x:v>3</x:v>
      </x:c>
      <x:c r="N113" s="38" t="n">
        <x:v>46344</x:v>
      </x:c>
      <x:c r="O113" s="38" t="n">
        <x:v>46346</x:v>
      </x:c>
      <x:c r="P113" s="38"/>
      <x:c r="Q113" s="38"/>
      <x:c r="R113" s="37" t="str">
        <x:v>未着手</x:v>
      </x:c>
      <x:c r="S113" s="40" t="n">
        <x:f>IF(R113="完了",1,IF(R113="修正中",0.8,IF(R113="Review待ち",0.7,IF(R113="作業中",0.3,0))))</x:f>
        <x:v>0</x:v>
      </x:c>
      <x:c r="T113" s="37" t="str">
        <x:f>IF(AND(R113&lt;&gt;"完了",TODAY()&gt;O113),"遅延","")</x:f>
      </x:c>
      <x:c r="U113" s="37" t="str">
        <x:v>API-AUTH-005 Source Code</x:v>
      </x:c>
      <x:c r="V113" s="37" t="str"/>
    </x:row>
    <x:row r="114">
      <x:c r="A114" s="37" t="str">
        <x:v>WP-012-CD</x:v>
      </x:c>
      <x:c r="B114" s="37" t="str">
        <x:v>WP-012</x:v>
      </x:c>
      <x:c r="C114" s="37" t="str">
        <x:v>API-DASH-001</x:v>
      </x:c>
      <x:c r="D114" s="37" t="str">
        <x:v>ホーム集計取得</x:v>
      </x:c>
      <x:c r="E114" s="37" t="str">
        <x:v>API</x:v>
      </x:c>
      <x:c r="F114" s="37" t="str">
        <x:v>Spring Boot</x:v>
      </x:c>
      <x:c r="G114" s="37" t="str">
        <x:v>Coding</x:v>
      </x:c>
      <x:c r="H114" s="37" t="str">
        <x:v>PG-01</x:v>
      </x:c>
      <x:c r="I114" s="37" t="str">
        <x:v>Project Leader</x:v>
      </x:c>
      <x:c r="J114" s="37" t="str">
        <x:v>WP-012-DD</x:v>
      </x:c>
      <x:c r="K114" s="37" t="n">
        <x:v>14</x:v>
      </x:c>
      <x:c r="L114" s="37" t="n">
        <x:v>2</x:v>
      </x:c>
      <x:c r="M114" s="37" t="n">
        <x:v>2</x:v>
      </x:c>
      <x:c r="N114" s="38" t="n">
        <x:v>46350</x:v>
      </x:c>
      <x:c r="O114" s="38" t="n">
        <x:v>46351</x:v>
      </x:c>
      <x:c r="P114" s="38"/>
      <x:c r="Q114" s="38"/>
      <x:c r="R114" s="37" t="str">
        <x:v>未着手</x:v>
      </x:c>
      <x:c r="S114" s="40" t="n">
        <x:f>IF(R114="完了",1,IF(R114="修正中",0.8,IF(R114="Review待ち",0.7,IF(R114="作業中",0.3,0))))</x:f>
        <x:v>0</x:v>
      </x:c>
      <x:c r="T114" s="37" t="str">
        <x:f>IF(AND(R114&lt;&gt;"完了",TODAY()&gt;O114),"遅延","")</x:f>
      </x:c>
      <x:c r="U114" s="37" t="str">
        <x:v>API-DASH-001 Source Code</x:v>
      </x:c>
      <x:c r="V114" s="37" t="str"/>
    </x:row>
    <x:row r="115">
      <x:c r="A115" s="37" t="str">
        <x:v>WP-013-CD</x:v>
      </x:c>
      <x:c r="B115" s="37" t="str">
        <x:v>WP-013</x:v>
      </x:c>
      <x:c r="C115" s="37" t="str">
        <x:v>API-MST-001</x:v>
      </x:c>
      <x:c r="D115" s="37" t="str">
        <x:v>部門選択肢</x:v>
      </x:c>
      <x:c r="E115" s="37" t="str">
        <x:v>API</x:v>
      </x:c>
      <x:c r="F115" s="37" t="str">
        <x:v>Spring Boot</x:v>
      </x:c>
      <x:c r="G115" s="37" t="str">
        <x:v>Coding</x:v>
      </x:c>
      <x:c r="H115" s="37" t="str">
        <x:v>PG-01</x:v>
      </x:c>
      <x:c r="I115" s="37" t="str">
        <x:v>Project Leader</x:v>
      </x:c>
      <x:c r="J115" s="37" t="str">
        <x:v>WP-013-DD</x:v>
      </x:c>
      <x:c r="K115" s="37" t="n">
        <x:v>14</x:v>
      </x:c>
      <x:c r="L115" s="37" t="n">
        <x:v>2</x:v>
      </x:c>
      <x:c r="M115" s="37" t="n">
        <x:v>2</x:v>
      </x:c>
      <x:c r="N115" s="38" t="n">
        <x:v>46352</x:v>
      </x:c>
      <x:c r="O115" s="38" t="n">
        <x:v>46353</x:v>
      </x:c>
      <x:c r="P115" s="38"/>
      <x:c r="Q115" s="38"/>
      <x:c r="R115" s="37" t="str">
        <x:v>未着手</x:v>
      </x:c>
      <x:c r="S115" s="40" t="n">
        <x:f>IF(R115="完了",1,IF(R115="修正中",0.8,IF(R115="Review待ち",0.7,IF(R115="作業中",0.3,0))))</x:f>
        <x:v>0</x:v>
      </x:c>
      <x:c r="T115" s="37" t="str">
        <x:f>IF(AND(R115&lt;&gt;"完了",TODAY()&gt;O115),"遅延","")</x:f>
      </x:c>
      <x:c r="U115" s="37" t="str">
        <x:v>API-MST-001 Source Code</x:v>
      </x:c>
      <x:c r="V115" s="37" t="str"/>
    </x:row>
    <x:row r="116">
      <x:c r="A116" s="37" t="str">
        <x:v>WP-014-CD</x:v>
      </x:c>
      <x:c r="B116" s="37" t="str">
        <x:v>WP-014</x:v>
      </x:c>
      <x:c r="C116" s="37" t="str">
        <x:v>API-MST-002</x:v>
      </x:c>
      <x:c r="D116" s="37" t="str">
        <x:v>社員選択肢</x:v>
      </x:c>
      <x:c r="E116" s="37" t="str">
        <x:v>API</x:v>
      </x:c>
      <x:c r="F116" s="37" t="str">
        <x:v>Spring Boot</x:v>
      </x:c>
      <x:c r="G116" s="37" t="str">
        <x:v>Coding</x:v>
      </x:c>
      <x:c r="H116" s="37" t="str">
        <x:v>PG-01</x:v>
      </x:c>
      <x:c r="I116" s="37" t="str">
        <x:v>Project Leader</x:v>
      </x:c>
      <x:c r="J116" s="37" t="str">
        <x:v>WP-014-DD</x:v>
      </x:c>
      <x:c r="K116" s="37" t="n">
        <x:v>14</x:v>
      </x:c>
      <x:c r="L116" s="37" t="n">
        <x:v>2</x:v>
      </x:c>
      <x:c r="M116" s="37" t="n">
        <x:v>2</x:v>
      </x:c>
      <x:c r="N116" s="38" t="n">
        <x:v>46356</x:v>
      </x:c>
      <x:c r="O116" s="38" t="n">
        <x:v>46357</x:v>
      </x:c>
      <x:c r="P116" s="38"/>
      <x:c r="Q116" s="38"/>
      <x:c r="R116" s="37" t="str">
        <x:v>未着手</x:v>
      </x:c>
      <x:c r="S116" s="40" t="n">
        <x:f>IF(R116="完了",1,IF(R116="修正中",0.8,IF(R116="Review待ち",0.7,IF(R116="作業中",0.3,0))))</x:f>
        <x:v>0</x:v>
      </x:c>
      <x:c r="T116" s="37" t="str">
        <x:f>IF(AND(R116&lt;&gt;"完了",TODAY()&gt;O116),"遅延","")</x:f>
      </x:c>
      <x:c r="U116" s="37" t="str">
        <x:v>API-MST-002 Source Code</x:v>
      </x:c>
      <x:c r="V116" s="37" t="str"/>
    </x:row>
    <x:row r="117">
      <x:c r="A117" s="37" t="str">
        <x:v>WP-015-CD</x:v>
      </x:c>
      <x:c r="B117" s="37" t="str">
        <x:v>WP-015</x:v>
      </x:c>
      <x:c r="C117" s="37" t="str">
        <x:v>API-MST-003</x:v>
      </x:c>
      <x:c r="D117" s="37" t="str">
        <x:v>PJ選択肢</x:v>
      </x:c>
      <x:c r="E117" s="37" t="str">
        <x:v>API</x:v>
      </x:c>
      <x:c r="F117" s="37" t="str">
        <x:v>Spring Boot</x:v>
      </x:c>
      <x:c r="G117" s="37" t="str">
        <x:v>Coding</x:v>
      </x:c>
      <x:c r="H117" s="37" t="str">
        <x:v>PG-01</x:v>
      </x:c>
      <x:c r="I117" s="37" t="str">
        <x:v>Project Leader</x:v>
      </x:c>
      <x:c r="J117" s="37" t="str">
        <x:v>WP-015-DD</x:v>
      </x:c>
      <x:c r="K117" s="37" t="n">
        <x:v>14</x:v>
      </x:c>
      <x:c r="L117" s="37" t="n">
        <x:v>2</x:v>
      </x:c>
      <x:c r="M117" s="37" t="n">
        <x:v>2</x:v>
      </x:c>
      <x:c r="N117" s="38" t="n">
        <x:v>46358</x:v>
      </x:c>
      <x:c r="O117" s="38" t="n">
        <x:v>46359</x:v>
      </x:c>
      <x:c r="P117" s="38"/>
      <x:c r="Q117" s="38"/>
      <x:c r="R117" s="37" t="str">
        <x:v>未着手</x:v>
      </x:c>
      <x:c r="S117" s="40" t="n">
        <x:f>IF(R117="完了",1,IF(R117="修正中",0.8,IF(R117="Review待ち",0.7,IF(R117="作業中",0.3,0))))</x:f>
        <x:v>0</x:v>
      </x:c>
      <x:c r="T117" s="37" t="str">
        <x:f>IF(AND(R117&lt;&gt;"完了",TODAY()&gt;O117),"遅延","")</x:f>
      </x:c>
      <x:c r="U117" s="37" t="str">
        <x:v>API-MST-003 Source Code</x:v>
      </x:c>
      <x:c r="V117" s="37" t="str"/>
    </x:row>
    <x:row r="118">
      <x:c r="A118" s="37" t="str">
        <x:v>WP-016-CD</x:v>
      </x:c>
      <x:c r="B118" s="37" t="str">
        <x:v>WP-016</x:v>
      </x:c>
      <x:c r="C118" s="37" t="str">
        <x:v>API-MST-004</x:v>
      </x:c>
      <x:c r="D118" s="37" t="str">
        <x:v>Role/権限選択肢</x:v>
      </x:c>
      <x:c r="E118" s="37" t="str">
        <x:v>API</x:v>
      </x:c>
      <x:c r="F118" s="37" t="str">
        <x:v>Spring Boot</x:v>
      </x:c>
      <x:c r="G118" s="37" t="str">
        <x:v>Coding</x:v>
      </x:c>
      <x:c r="H118" s="37" t="str">
        <x:v>PG-01</x:v>
      </x:c>
      <x:c r="I118" s="37" t="str">
        <x:v>Project Leader</x:v>
      </x:c>
      <x:c r="J118" s="37" t="str">
        <x:v>WP-016-DD</x:v>
      </x:c>
      <x:c r="K118" s="37" t="n">
        <x:v>28</x:v>
      </x:c>
      <x:c r="L118" s="37" t="n">
        <x:v>2</x:v>
      </x:c>
      <x:c r="M118" s="37" t="n">
        <x:v>4</x:v>
      </x:c>
      <x:c r="N118" s="38" t="n">
        <x:v>46360</x:v>
      </x:c>
      <x:c r="O118" s="38" t="n">
        <x:v>46365</x:v>
      </x:c>
      <x:c r="P118" s="38"/>
      <x:c r="Q118" s="38"/>
      <x:c r="R118" s="37" t="str">
        <x:v>未着手</x:v>
      </x:c>
      <x:c r="S118" s="40" t="n">
        <x:f>IF(R118="完了",1,IF(R118="修正中",0.8,IF(R118="Review待ち",0.7,IF(R118="作業中",0.3,0))))</x:f>
        <x:v>0</x:v>
      </x:c>
      <x:c r="T118" s="37" t="str">
        <x:f>IF(AND(R118&lt;&gt;"完了",TODAY()&gt;O118),"遅延","")</x:f>
      </x:c>
      <x:c r="U118" s="37" t="str">
        <x:v>API-MST-004 Source Code</x:v>
      </x:c>
      <x:c r="V118" s="37" t="str"/>
    </x:row>
    <x:row r="119">
      <x:c r="A119" s="37" t="str">
        <x:v>WP-017-CD</x:v>
      </x:c>
      <x:c r="B119" s="37" t="str">
        <x:v>WP-017</x:v>
      </x:c>
      <x:c r="C119" s="37" t="str">
        <x:v>API-USR-001</x:v>
      </x:c>
      <x:c r="D119" s="37" t="str">
        <x:v>ユーザー検索</x:v>
      </x:c>
      <x:c r="E119" s="37" t="str">
        <x:v>API</x:v>
      </x:c>
      <x:c r="F119" s="37" t="str">
        <x:v>Spring Boot</x:v>
      </x:c>
      <x:c r="G119" s="37" t="str">
        <x:v>Coding</x:v>
      </x:c>
      <x:c r="H119" s="37" t="str">
        <x:v>PG-01</x:v>
      </x:c>
      <x:c r="I119" s="37" t="str">
        <x:v>Project Leader</x:v>
      </x:c>
      <x:c r="J119" s="37" t="str">
        <x:v>WP-017-DD</x:v>
      </x:c>
      <x:c r="K119" s="37" t="n">
        <x:v>14</x:v>
      </x:c>
      <x:c r="L119" s="37" t="n">
        <x:v>2</x:v>
      </x:c>
      <x:c r="M119" s="37" t="n">
        <x:v>2</x:v>
      </x:c>
      <x:c r="N119" s="38" t="n">
        <x:v>46366</x:v>
      </x:c>
      <x:c r="O119" s="38" t="n">
        <x:v>46367</x:v>
      </x:c>
      <x:c r="P119" s="38"/>
      <x:c r="Q119" s="38"/>
      <x:c r="R119" s="37" t="str">
        <x:v>未着手</x:v>
      </x:c>
      <x:c r="S119" s="40" t="n">
        <x:f>IF(R119="完了",1,IF(R119="修正中",0.8,IF(R119="Review待ち",0.7,IF(R119="作業中",0.3,0))))</x:f>
        <x:v>0</x:v>
      </x:c>
      <x:c r="T119" s="37" t="str">
        <x:f>IF(AND(R119&lt;&gt;"完了",TODAY()&gt;O119),"遅延","")</x:f>
      </x:c>
      <x:c r="U119" s="37" t="str">
        <x:v>API-USR-001 Source Code</x:v>
      </x:c>
      <x:c r="V119" s="37" t="str"/>
    </x:row>
    <x:row r="120">
      <x:c r="A120" s="37" t="str">
        <x:v>WP-018-CD</x:v>
      </x:c>
      <x:c r="B120" s="37" t="str">
        <x:v>WP-018</x:v>
      </x:c>
      <x:c r="C120" s="37" t="str">
        <x:v>API-USR-002</x:v>
      </x:c>
      <x:c r="D120" s="37" t="str">
        <x:v>ユーザー詳細</x:v>
      </x:c>
      <x:c r="E120" s="37" t="str">
        <x:v>API</x:v>
      </x:c>
      <x:c r="F120" s="37" t="str">
        <x:v>Spring Boot</x:v>
      </x:c>
      <x:c r="G120" s="37" t="str">
        <x:v>Coding</x:v>
      </x:c>
      <x:c r="H120" s="37" t="str">
        <x:v>PG-01</x:v>
      </x:c>
      <x:c r="I120" s="37" t="str">
        <x:v>Project Leader</x:v>
      </x:c>
      <x:c r="J120" s="37" t="str">
        <x:v>WP-018-DD</x:v>
      </x:c>
      <x:c r="K120" s="37" t="n">
        <x:v>14</x:v>
      </x:c>
      <x:c r="L120" s="37" t="n">
        <x:v>2</x:v>
      </x:c>
      <x:c r="M120" s="37" t="n">
        <x:v>2</x:v>
      </x:c>
      <x:c r="N120" s="38" t="n">
        <x:v>46370</x:v>
      </x:c>
      <x:c r="O120" s="38" t="n">
        <x:v>46371</x:v>
      </x:c>
      <x:c r="P120" s="38"/>
      <x:c r="Q120" s="38"/>
      <x:c r="R120" s="37" t="str">
        <x:v>未着手</x:v>
      </x:c>
      <x:c r="S120" s="40" t="n">
        <x:f>IF(R120="完了",1,IF(R120="修正中",0.8,IF(R120="Review待ち",0.7,IF(R120="作業中",0.3,0))))</x:f>
        <x:v>0</x:v>
      </x:c>
      <x:c r="T120" s="37" t="str">
        <x:f>IF(AND(R120&lt;&gt;"完了",TODAY()&gt;O120),"遅延","")</x:f>
      </x:c>
      <x:c r="U120" s="37" t="str">
        <x:v>API-USR-002 Source Code</x:v>
      </x:c>
      <x:c r="V120" s="37" t="str"/>
    </x:row>
    <x:row r="121">
      <x:c r="A121" s="37" t="str">
        <x:v>WP-019-CD</x:v>
      </x:c>
      <x:c r="B121" s="37" t="str">
        <x:v>WP-019</x:v>
      </x:c>
      <x:c r="C121" s="37" t="str">
        <x:v>API-USR-003</x:v>
      </x:c>
      <x:c r="D121" s="37" t="str">
        <x:v>ユーザー状態・Role更新</x:v>
      </x:c>
      <x:c r="E121" s="37" t="str">
        <x:v>API</x:v>
      </x:c>
      <x:c r="F121" s="37" t="str">
        <x:v>Spring Boot</x:v>
      </x:c>
      <x:c r="G121" s="37" t="str">
        <x:v>Coding</x:v>
      </x:c>
      <x:c r="H121" s="37" t="str">
        <x:v>PG-01</x:v>
      </x:c>
      <x:c r="I121" s="37" t="str">
        <x:v>Project Leader</x:v>
      </x:c>
      <x:c r="J121" s="37" t="str">
        <x:v>WP-019-DD</x:v>
      </x:c>
      <x:c r="K121" s="37" t="n">
        <x:v>21</x:v>
      </x:c>
      <x:c r="L121" s="37" t="n">
        <x:v>2</x:v>
      </x:c>
      <x:c r="M121" s="37" t="n">
        <x:v>3</x:v>
      </x:c>
      <x:c r="N121" s="38" t="n">
        <x:v>46372</x:v>
      </x:c>
      <x:c r="O121" s="38" t="n">
        <x:v>46374</x:v>
      </x:c>
      <x:c r="P121" s="38"/>
      <x:c r="Q121" s="38"/>
      <x:c r="R121" s="37" t="str">
        <x:v>未着手</x:v>
      </x:c>
      <x:c r="S121" s="40" t="n">
        <x:f>IF(R121="完了",1,IF(R121="修正中",0.8,IF(R121="Review待ち",0.7,IF(R121="作業中",0.3,0))))</x:f>
        <x:v>0</x:v>
      </x:c>
      <x:c r="T121" s="37" t="str">
        <x:f>IF(AND(R121&lt;&gt;"完了",TODAY()&gt;O121),"遅延","")</x:f>
      </x:c>
      <x:c r="U121" s="37" t="str">
        <x:v>API-USR-003 Source Code</x:v>
      </x:c>
      <x:c r="V121" s="37" t="str"/>
    </x:row>
    <x:row r="122">
      <x:c r="A122" s="37" t="str">
        <x:v>WP-020-CD</x:v>
      </x:c>
      <x:c r="B122" s="37" t="str">
        <x:v>WP-020</x:v>
      </x:c>
      <x:c r="C122" s="37" t="str">
        <x:v>API-USR-004</x:v>
      </x:c>
      <x:c r="D122" s="37" t="str">
        <x:v>パスワードリセット</x:v>
      </x:c>
      <x:c r="E122" s="37" t="str">
        <x:v>API</x:v>
      </x:c>
      <x:c r="F122" s="37" t="str">
        <x:v>Spring Boot</x:v>
      </x:c>
      <x:c r="G122" s="37" t="str">
        <x:v>Coding</x:v>
      </x:c>
      <x:c r="H122" s="37" t="str">
        <x:v>PG-01</x:v>
      </x:c>
      <x:c r="I122" s="37" t="str">
        <x:v>Project Leader</x:v>
      </x:c>
      <x:c r="J122" s="37" t="str">
        <x:v>WP-020-DD</x:v>
      </x:c>
      <x:c r="K122" s="37" t="n">
        <x:v>21</x:v>
      </x:c>
      <x:c r="L122" s="37" t="n">
        <x:v>2</x:v>
      </x:c>
      <x:c r="M122" s="37" t="n">
        <x:v>3</x:v>
      </x:c>
      <x:c r="N122" s="38" t="n">
        <x:v>46377</x:v>
      </x:c>
      <x:c r="O122" s="38" t="n">
        <x:v>46379</x:v>
      </x:c>
      <x:c r="P122" s="38"/>
      <x:c r="Q122" s="38"/>
      <x:c r="R122" s="37" t="str">
        <x:v>未着手</x:v>
      </x:c>
      <x:c r="S122" s="40" t="n">
        <x:f>IF(R122="完了",1,IF(R122="修正中",0.8,IF(R122="Review待ち",0.7,IF(R122="作業中",0.3,0))))</x:f>
        <x:v>0</x:v>
      </x:c>
      <x:c r="T122" s="37" t="str">
        <x:f>IF(AND(R122&lt;&gt;"完了",TODAY()&gt;O122),"遅延","")</x:f>
      </x:c>
      <x:c r="U122" s="37" t="str">
        <x:v>API-USR-004 Source Code</x:v>
      </x:c>
      <x:c r="V122" s="37" t="str"/>
    </x:row>
    <x:row r="123">
      <x:c r="A123" s="37" t="str">
        <x:v>WP-069-CD</x:v>
      </x:c>
      <x:c r="B123" s="37" t="str">
        <x:v>WP-069</x:v>
      </x:c>
      <x:c r="C123" s="37" t="str">
        <x:v>SCR-001-VUE</x:v>
      </x:c>
      <x:c r="D123" s="37" t="str">
        <x:v>ログイン画面（Vue）</x:v>
      </x:c>
      <x:c r="E123" s="37" t="str">
        <x:v>画面</x:v>
      </x:c>
      <x:c r="F123" s="37" t="str">
        <x:v>Vue</x:v>
      </x:c>
      <x:c r="G123" s="37" t="str">
        <x:v>Coding</x:v>
      </x:c>
      <x:c r="H123" s="37" t="str">
        <x:v>PG-01</x:v>
      </x:c>
      <x:c r="I123" s="37" t="str">
        <x:v>Project Leader</x:v>
      </x:c>
      <x:c r="J123" s="37" t="str">
        <x:v>WP-069-DD</x:v>
      </x:c>
      <x:c r="K123" s="37" t="n">
        <x:v>14</x:v>
      </x:c>
      <x:c r="L123" s="37" t="n">
        <x:v>2</x:v>
      </x:c>
      <x:c r="M123" s="37" t="n">
        <x:v>2</x:v>
      </x:c>
      <x:c r="N123" s="38" t="n">
        <x:v>46380</x:v>
      </x:c>
      <x:c r="O123" s="38" t="n">
        <x:v>46381</x:v>
      </x:c>
      <x:c r="P123" s="38"/>
      <x:c r="Q123" s="38"/>
      <x:c r="R123" s="37" t="str">
        <x:v>未着手</x:v>
      </x:c>
      <x:c r="S123" s="40" t="n">
        <x:f>IF(R123="完了",1,IF(R123="修正中",0.8,IF(R123="Review待ち",0.7,IF(R123="作業中",0.3,0))))</x:f>
        <x:v>0</x:v>
      </x:c>
      <x:c r="T123" s="37" t="str">
        <x:f>IF(AND(R123&lt;&gt;"完了",TODAY()&gt;O123),"遅延","")</x:f>
      </x:c>
      <x:c r="U123" s="37" t="str">
        <x:v>SCR-001-VUE Source Code</x:v>
      </x:c>
      <x:c r="V123" s="37" t="str"/>
    </x:row>
    <x:row r="124">
      <x:c r="A124" s="37" t="str">
        <x:v>WP-070-CD</x:v>
      </x:c>
      <x:c r="B124" s="37" t="str">
        <x:v>WP-070</x:v>
      </x:c>
      <x:c r="C124" s="37" t="str">
        <x:v>SCR-002-VUE</x:v>
      </x:c>
      <x:c r="D124" s="37" t="str">
        <x:v>ホームダッシュボード画面（Vue）</x:v>
      </x:c>
      <x:c r="E124" s="37" t="str">
        <x:v>画面</x:v>
      </x:c>
      <x:c r="F124" s="37" t="str">
        <x:v>Vue</x:v>
      </x:c>
      <x:c r="G124" s="37" t="str">
        <x:v>Coding</x:v>
      </x:c>
      <x:c r="H124" s="37" t="str">
        <x:v>PG-01</x:v>
      </x:c>
      <x:c r="I124" s="37" t="str">
        <x:v>Project Leader</x:v>
      </x:c>
      <x:c r="J124" s="37" t="str">
        <x:v>WP-070-DD</x:v>
      </x:c>
      <x:c r="K124" s="37" t="n">
        <x:v>28</x:v>
      </x:c>
      <x:c r="L124" s="37" t="n">
        <x:v>2</x:v>
      </x:c>
      <x:c r="M124" s="37" t="n">
        <x:v>4</x:v>
      </x:c>
      <x:c r="N124" s="38" t="n">
        <x:v>46384</x:v>
      </x:c>
      <x:c r="O124" s="38" t="n">
        <x:v>46387</x:v>
      </x:c>
      <x:c r="P124" s="38"/>
      <x:c r="Q124" s="38"/>
      <x:c r="R124" s="37" t="str">
        <x:v>未着手</x:v>
      </x:c>
      <x:c r="S124" s="40" t="n">
        <x:f>IF(R124="完了",1,IF(R124="修正中",0.8,IF(R124="Review待ち",0.7,IF(R124="作業中",0.3,0))))</x:f>
        <x:v>0</x:v>
      </x:c>
      <x:c r="T124" s="37" t="str">
        <x:f>IF(AND(R124&lt;&gt;"完了",TODAY()&gt;O124),"遅延","")</x:f>
      </x:c>
      <x:c r="U124" s="37" t="str">
        <x:v>SCR-002-VUE Source Code</x:v>
      </x:c>
      <x:c r="V124" s="37" t="str"/>
    </x:row>
    <x:row r="125">
      <x:c r="A125" s="37" t="str">
        <x:v>WP-091-CD</x:v>
      </x:c>
      <x:c r="B125" s="37" t="str">
        <x:v>WP-091</x:v>
      </x:c>
      <x:c r="C125" s="37" t="str">
        <x:v>SCR-023-VUE</x:v>
      </x:c>
      <x:c r="D125" s="37" t="str">
        <x:v>ユーザー管理画面（Vue）</x:v>
      </x:c>
      <x:c r="E125" s="37" t="str">
        <x:v>画面</x:v>
      </x:c>
      <x:c r="F125" s="37" t="str">
        <x:v>Vue</x:v>
      </x:c>
      <x:c r="G125" s="37" t="str">
        <x:v>Coding</x:v>
      </x:c>
      <x:c r="H125" s="37" t="str">
        <x:v>PG-01</x:v>
      </x:c>
      <x:c r="I125" s="37" t="str">
        <x:v>Project Leader</x:v>
      </x:c>
      <x:c r="J125" s="37" t="str">
        <x:v>WP-091-DD</x:v>
      </x:c>
      <x:c r="K125" s="37" t="n">
        <x:v>28</x:v>
      </x:c>
      <x:c r="L125" s="37" t="n">
        <x:v>2</x:v>
      </x:c>
      <x:c r="M125" s="37" t="n">
        <x:v>4</x:v>
      </x:c>
      <x:c r="N125" s="38" t="n">
        <x:v>46391</x:v>
      </x:c>
      <x:c r="O125" s="38" t="n">
        <x:v>46394</x:v>
      </x:c>
      <x:c r="P125" s="38"/>
      <x:c r="Q125" s="38"/>
      <x:c r="R125" s="37" t="str">
        <x:v>未着手</x:v>
      </x:c>
      <x:c r="S125" s="40" t="n">
        <x:f>IF(R125="完了",1,IF(R125="修正中",0.8,IF(R125="Review待ち",0.7,IF(R125="作業中",0.3,0))))</x:f>
        <x:v>0</x:v>
      </x:c>
      <x:c r="T125" s="37" t="str">
        <x:f>IF(AND(R125&lt;&gt;"完了",TODAY()&gt;O125),"遅延","")</x:f>
      </x:c>
      <x:c r="U125" s="37" t="str">
        <x:v>SCR-023-VUE Source Code</x:v>
      </x:c>
      <x:c r="V125" s="37" t="str"/>
    </x:row>
    <x:row r="126">
      <x:c r="A126" s="37" t="str">
        <x:v>WP-093-CD</x:v>
      </x:c>
      <x:c r="B126" s="37" t="str">
        <x:v>WP-093</x:v>
      </x:c>
      <x:c r="C126" s="37" t="str">
        <x:v>SCR-025-VUE</x:v>
      </x:c>
      <x:c r="D126" s="37" t="str">
        <x:v>操作ログ画面（Vue）</x:v>
      </x:c>
      <x:c r="E126" s="37" t="str">
        <x:v>画面</x:v>
      </x:c>
      <x:c r="F126" s="37" t="str">
        <x:v>Vue</x:v>
      </x:c>
      <x:c r="G126" s="37" t="str">
        <x:v>Coding</x:v>
      </x:c>
      <x:c r="H126" s="37" t="str">
        <x:v>PG-01</x:v>
      </x:c>
      <x:c r="I126" s="37" t="str">
        <x:v>Project Leader</x:v>
      </x:c>
      <x:c r="J126" s="37" t="str">
        <x:v>WP-093-DD</x:v>
      </x:c>
      <x:c r="K126" s="37" t="n">
        <x:v>14</x:v>
      </x:c>
      <x:c r="L126" s="37" t="n">
        <x:v>2</x:v>
      </x:c>
      <x:c r="M126" s="37" t="n">
        <x:v>2</x:v>
      </x:c>
      <x:c r="N126" s="38" t="n">
        <x:v>46395</x:v>
      </x:c>
      <x:c r="O126" s="38" t="n">
        <x:v>46399</x:v>
      </x:c>
      <x:c r="P126" s="38"/>
      <x:c r="Q126" s="38"/>
      <x:c r="R126" s="37" t="str">
        <x:v>未着手</x:v>
      </x:c>
      <x:c r="S126" s="40" t="n">
        <x:f>IF(R126="完了",1,IF(R126="修正中",0.8,IF(R126="Review待ち",0.7,IF(R126="作業中",0.3,0))))</x:f>
        <x:v>0</x:v>
      </x:c>
      <x:c r="T126" s="37" t="str">
        <x:f>IF(AND(R126&lt;&gt;"完了",TODAY()&gt;O126),"遅延","")</x:f>
      </x:c>
      <x:c r="U126" s="37" t="str">
        <x:v>SCR-025-VUE Source Code</x:v>
      </x:c>
      <x:c r="V126" s="37" t="str"/>
    </x:row>
    <x:row r="127">
      <x:c r="A127" s="37" t="str">
        <x:v>WP-094-CD</x:v>
      </x:c>
      <x:c r="B127" s="37" t="str">
        <x:v>WP-094</x:v>
      </x:c>
      <x:c r="C127" s="37" t="str">
        <x:v>SCR-026-VUE</x:v>
      </x:c>
      <x:c r="D127" s="37" t="str">
        <x:v>パスワード変更画面（Vue）</x:v>
      </x:c>
      <x:c r="E127" s="37" t="str">
        <x:v>画面</x:v>
      </x:c>
      <x:c r="F127" s="37" t="str">
        <x:v>Vue</x:v>
      </x:c>
      <x:c r="G127" s="37" t="str">
        <x:v>Coding</x:v>
      </x:c>
      <x:c r="H127" s="37" t="str">
        <x:v>PG-01</x:v>
      </x:c>
      <x:c r="I127" s="37" t="str">
        <x:v>Project Leader</x:v>
      </x:c>
      <x:c r="J127" s="37" t="str">
        <x:v>WP-094-DD</x:v>
      </x:c>
      <x:c r="K127" s="37" t="n">
        <x:v>21</x:v>
      </x:c>
      <x:c r="L127" s="37" t="n">
        <x:v>2</x:v>
      </x:c>
      <x:c r="M127" s="37" t="n">
        <x:v>3</x:v>
      </x:c>
      <x:c r="N127" s="38" t="n">
        <x:v>46400</x:v>
      </x:c>
      <x:c r="O127" s="38" t="n">
        <x:v>46402</x:v>
      </x:c>
      <x:c r="P127" s="38"/>
      <x:c r="Q127" s="38"/>
      <x:c r="R127" s="37" t="str">
        <x:v>未着手</x:v>
      </x:c>
      <x:c r="S127" s="40" t="n">
        <x:f>IF(R127="完了",1,IF(R127="修正中",0.8,IF(R127="Review待ち",0.7,IF(R127="作業中",0.3,0))))</x:f>
        <x:v>0</x:v>
      </x:c>
      <x:c r="T127" s="37" t="str">
        <x:f>IF(AND(R127&lt;&gt;"完了",TODAY()&gt;O127),"遅延","")</x:f>
      </x:c>
      <x:c r="U127" s="37" t="str">
        <x:v>SCR-026-VUE Source Code</x:v>
      </x:c>
      <x:c r="V127" s="37" t="str"/>
    </x:row>
    <x:row r="128">
      <x:c r="A128" s="37" t="str">
        <x:v>WP-003-CD</x:v>
      </x:c>
      <x:c r="B128" s="37" t="str">
        <x:v>WP-003</x:v>
      </x:c>
      <x:c r="C128" s="37" t="str">
        <x:v>COM-VUE-001</x:v>
      </x:c>
      <x:c r="D128" s="37" t="str">
        <x:v>Vue共通基盤</x:v>
      </x:c>
      <x:c r="E128" s="37" t="str">
        <x:v>共通</x:v>
      </x:c>
      <x:c r="F128" s="37" t="str">
        <x:v>Backend/共通</x:v>
      </x:c>
      <x:c r="G128" s="37" t="str">
        <x:v>Coding</x:v>
      </x:c>
      <x:c r="H128" s="37" t="str">
        <x:v>PG-02</x:v>
      </x:c>
      <x:c r="I128" s="37" t="str">
        <x:v>Project Leader</x:v>
      </x:c>
      <x:c r="J128" s="37" t="str">
        <x:v>WP-003-DD</x:v>
      </x:c>
      <x:c r="K128" s="37" t="n">
        <x:v>21</x:v>
      </x:c>
      <x:c r="L128" s="37" t="n">
        <x:v>2</x:v>
      </x:c>
      <x:c r="M128" s="37" t="n">
        <x:v>3</x:v>
      </x:c>
      <x:c r="N128" s="38" t="n">
        <x:v>46315</x:v>
      </x:c>
      <x:c r="O128" s="38" t="n">
        <x:v>46317</x:v>
      </x:c>
      <x:c r="P128" s="38"/>
      <x:c r="Q128" s="38"/>
      <x:c r="R128" s="37" t="str">
        <x:v>未着手</x:v>
      </x:c>
      <x:c r="S128" s="40" t="n">
        <x:f>IF(R128="完了",1,IF(R128="修正中",0.8,IF(R128="Review待ち",0.7,IF(R128="作業中",0.3,0))))</x:f>
        <x:v>0</x:v>
      </x:c>
      <x:c r="T128" s="37" t="str">
        <x:f>IF(AND(R128&lt;&gt;"完了",TODAY()&gt;O128),"遅延","")</x:f>
      </x:c>
      <x:c r="U128" s="37" t="str">
        <x:v>COM-VUE-001 Source Code</x:v>
      </x:c>
      <x:c r="V128" s="37" t="str"/>
    </x:row>
    <x:row r="129">
      <x:c r="A129" s="37" t="str">
        <x:v>WP-028-CD</x:v>
      </x:c>
      <x:c r="B129" s="37" t="str">
        <x:v>WP-028</x:v>
      </x:c>
      <x:c r="C129" s="37" t="str">
        <x:v>API-EMP-001</x:v>
      </x:c>
      <x:c r="D129" s="37" t="str">
        <x:v>従業員ページ検索</x:v>
      </x:c>
      <x:c r="E129" s="37" t="str">
        <x:v>API</x:v>
      </x:c>
      <x:c r="F129" s="37" t="str">
        <x:v>Spring Boot</x:v>
      </x:c>
      <x:c r="G129" s="37" t="str">
        <x:v>Coding</x:v>
      </x:c>
      <x:c r="H129" s="37" t="str">
        <x:v>PG-02</x:v>
      </x:c>
      <x:c r="I129" s="37" t="str">
        <x:v>Project Leader</x:v>
      </x:c>
      <x:c r="J129" s="37" t="str">
        <x:v>WP-028-DD</x:v>
      </x:c>
      <x:c r="K129" s="37" t="n">
        <x:v>14</x:v>
      </x:c>
      <x:c r="L129" s="37" t="n">
        <x:v>2</x:v>
      </x:c>
      <x:c r="M129" s="37" t="n">
        <x:v>2</x:v>
      </x:c>
      <x:c r="N129" s="38" t="n">
        <x:v>46318</x:v>
      </x:c>
      <x:c r="O129" s="38" t="n">
        <x:v>46321</x:v>
      </x:c>
      <x:c r="P129" s="38"/>
      <x:c r="Q129" s="38"/>
      <x:c r="R129" s="37" t="str">
        <x:v>未着手</x:v>
      </x:c>
      <x:c r="S129" s="40" t="n">
        <x:f>IF(R129="完了",1,IF(R129="修正中",0.8,IF(R129="Review待ち",0.7,IF(R129="作業中",0.3,0))))</x:f>
        <x:v>0</x:v>
      </x:c>
      <x:c r="T129" s="37" t="str">
        <x:f>IF(AND(R129&lt;&gt;"完了",TODAY()&gt;O129),"遅延","")</x:f>
      </x:c>
      <x:c r="U129" s="37" t="str">
        <x:v>API-EMP-001 Source Code</x:v>
      </x:c>
      <x:c r="V129" s="37" t="str"/>
    </x:row>
    <x:row r="130">
      <x:c r="A130" s="37" t="str">
        <x:v>WP-029-CD</x:v>
      </x:c>
      <x:c r="B130" s="37" t="str">
        <x:v>WP-029</x:v>
      </x:c>
      <x:c r="C130" s="37" t="str">
        <x:v>API-EMP-002</x:v>
      </x:c>
      <x:c r="D130" s="37" t="str">
        <x:v>従業員詳細</x:v>
      </x:c>
      <x:c r="E130" s="37" t="str">
        <x:v>API</x:v>
      </x:c>
      <x:c r="F130" s="37" t="str">
        <x:v>Spring Boot</x:v>
      </x:c>
      <x:c r="G130" s="37" t="str">
        <x:v>Coding</x:v>
      </x:c>
      <x:c r="H130" s="37" t="str">
        <x:v>PG-02</x:v>
      </x:c>
      <x:c r="I130" s="37" t="str">
        <x:v>Project Leader</x:v>
      </x:c>
      <x:c r="J130" s="37" t="str">
        <x:v>WP-029-DD</x:v>
      </x:c>
      <x:c r="K130" s="37" t="n">
        <x:v>14</x:v>
      </x:c>
      <x:c r="L130" s="37" t="n">
        <x:v>2</x:v>
      </x:c>
      <x:c r="M130" s="37" t="n">
        <x:v>2</x:v>
      </x:c>
      <x:c r="N130" s="38" t="n">
        <x:v>46322</x:v>
      </x:c>
      <x:c r="O130" s="38" t="n">
        <x:v>46323</x:v>
      </x:c>
      <x:c r="P130" s="38"/>
      <x:c r="Q130" s="38"/>
      <x:c r="R130" s="37" t="str">
        <x:v>未着手</x:v>
      </x:c>
      <x:c r="S130" s="40" t="n">
        <x:f>IF(R130="完了",1,IF(R130="修正中",0.8,IF(R130="Review待ち",0.7,IF(R130="作業中",0.3,0))))</x:f>
        <x:v>0</x:v>
      </x:c>
      <x:c r="T130" s="37" t="str">
        <x:f>IF(AND(R130&lt;&gt;"完了",TODAY()&gt;O130),"遅延","")</x:f>
      </x:c>
      <x:c r="U130" s="37" t="str">
        <x:v>API-EMP-002 Source Code</x:v>
      </x:c>
      <x:c r="V130" s="37" t="str"/>
    </x:row>
    <x:row r="131">
      <x:c r="A131" s="37" t="str">
        <x:v>WP-030-CD</x:v>
      </x:c>
      <x:c r="B131" s="37" t="str">
        <x:v>WP-030</x:v>
      </x:c>
      <x:c r="C131" s="37" t="str">
        <x:v>API-EMP-003</x:v>
      </x:c>
      <x:c r="D131" s="37" t="str">
        <x:v>従業員登録</x:v>
      </x:c>
      <x:c r="E131" s="37" t="str">
        <x:v>API</x:v>
      </x:c>
      <x:c r="F131" s="37" t="str">
        <x:v>Spring Boot</x:v>
      </x:c>
      <x:c r="G131" s="37" t="str">
        <x:v>Coding</x:v>
      </x:c>
      <x:c r="H131" s="37" t="str">
        <x:v>PG-02</x:v>
      </x:c>
      <x:c r="I131" s="37" t="str">
        <x:v>Project Leader</x:v>
      </x:c>
      <x:c r="J131" s="37" t="str">
        <x:v>WP-030-DD</x:v>
      </x:c>
      <x:c r="K131" s="37" t="n">
        <x:v>21</x:v>
      </x:c>
      <x:c r="L131" s="37" t="n">
        <x:v>2</x:v>
      </x:c>
      <x:c r="M131" s="37" t="n">
        <x:v>3</x:v>
      </x:c>
      <x:c r="N131" s="38" t="n">
        <x:v>46324</x:v>
      </x:c>
      <x:c r="O131" s="38" t="n">
        <x:v>46328</x:v>
      </x:c>
      <x:c r="P131" s="38"/>
      <x:c r="Q131" s="38"/>
      <x:c r="R131" s="37" t="str">
        <x:v>未着手</x:v>
      </x:c>
      <x:c r="S131" s="40" t="n">
        <x:f>IF(R131="完了",1,IF(R131="修正中",0.8,IF(R131="Review待ち",0.7,IF(R131="作業中",0.3,0))))</x:f>
        <x:v>0</x:v>
      </x:c>
      <x:c r="T131" s="37" t="str">
        <x:f>IF(AND(R131&lt;&gt;"完了",TODAY()&gt;O131),"遅延","")</x:f>
      </x:c>
      <x:c r="U131" s="37" t="str">
        <x:v>API-EMP-003 Source Code</x:v>
      </x:c>
      <x:c r="V131" s="37" t="str"/>
    </x:row>
    <x:row r="132">
      <x:c r="A132" s="37" t="str">
        <x:v>WP-031-CD</x:v>
      </x:c>
      <x:c r="B132" s="37" t="str">
        <x:v>WP-031</x:v>
      </x:c>
      <x:c r="C132" s="37" t="str">
        <x:v>API-EMP-004</x:v>
      </x:c>
      <x:c r="D132" s="37" t="str">
        <x:v>従業員更新</x:v>
      </x:c>
      <x:c r="E132" s="37" t="str">
        <x:v>API</x:v>
      </x:c>
      <x:c r="F132" s="37" t="str">
        <x:v>Spring Boot</x:v>
      </x:c>
      <x:c r="G132" s="37" t="str">
        <x:v>Coding</x:v>
      </x:c>
      <x:c r="H132" s="37" t="str">
        <x:v>PG-02</x:v>
      </x:c>
      <x:c r="I132" s="37" t="str">
        <x:v>Project Leader</x:v>
      </x:c>
      <x:c r="J132" s="37" t="str">
        <x:v>WP-031-DD</x:v>
      </x:c>
      <x:c r="K132" s="37" t="n">
        <x:v>21</x:v>
      </x:c>
      <x:c r="L132" s="37" t="n">
        <x:v>2</x:v>
      </x:c>
      <x:c r="M132" s="37" t="n">
        <x:v>3</x:v>
      </x:c>
      <x:c r="N132" s="38" t="n">
        <x:v>46330</x:v>
      </x:c>
      <x:c r="O132" s="38" t="n">
        <x:v>46332</x:v>
      </x:c>
      <x:c r="P132" s="38"/>
      <x:c r="Q132" s="38"/>
      <x:c r="R132" s="37" t="str">
        <x:v>未着手</x:v>
      </x:c>
      <x:c r="S132" s="40" t="n">
        <x:f>IF(R132="完了",1,IF(R132="修正中",0.8,IF(R132="Review待ち",0.7,IF(R132="作業中",0.3,0))))</x:f>
        <x:v>0</x:v>
      </x:c>
      <x:c r="T132" s="37" t="str">
        <x:f>IF(AND(R132&lt;&gt;"完了",TODAY()&gt;O132),"遅延","")</x:f>
      </x:c>
      <x:c r="U132" s="37" t="str">
        <x:v>API-EMP-004 Source Code</x:v>
      </x:c>
      <x:c r="V132" s="37" t="str"/>
    </x:row>
    <x:row r="133">
      <x:c r="A133" s="37" t="str">
        <x:v>WP-032-CD</x:v>
      </x:c>
      <x:c r="B133" s="37" t="str">
        <x:v>WP-032</x:v>
      </x:c>
      <x:c r="C133" s="37" t="str">
        <x:v>API-EMP-005</x:v>
      </x:c>
      <x:c r="D133" s="37" t="str">
        <x:v>従業員状態変更</x:v>
      </x:c>
      <x:c r="E133" s="37" t="str">
        <x:v>API</x:v>
      </x:c>
      <x:c r="F133" s="37" t="str">
        <x:v>Spring Boot</x:v>
      </x:c>
      <x:c r="G133" s="37" t="str">
        <x:v>Coding</x:v>
      </x:c>
      <x:c r="H133" s="37" t="str">
        <x:v>PG-02</x:v>
      </x:c>
      <x:c r="I133" s="37" t="str">
        <x:v>Project Leader</x:v>
      </x:c>
      <x:c r="J133" s="37" t="str">
        <x:v>WP-032-DD</x:v>
      </x:c>
      <x:c r="K133" s="37" t="n">
        <x:v>21</x:v>
      </x:c>
      <x:c r="L133" s="37" t="n">
        <x:v>2</x:v>
      </x:c>
      <x:c r="M133" s="37" t="n">
        <x:v>3</x:v>
      </x:c>
      <x:c r="N133" s="38" t="n">
        <x:v>46335</x:v>
      </x:c>
      <x:c r="O133" s="38" t="n">
        <x:v>46337</x:v>
      </x:c>
      <x:c r="P133" s="38"/>
      <x:c r="Q133" s="38"/>
      <x:c r="R133" s="37" t="str">
        <x:v>未着手</x:v>
      </x:c>
      <x:c r="S133" s="40" t="n">
        <x:f>IF(R133="完了",1,IF(R133="修正中",0.8,IF(R133="Review待ち",0.7,IF(R133="作業中",0.3,0))))</x:f>
        <x:v>0</x:v>
      </x:c>
      <x:c r="T133" s="37" t="str">
        <x:f>IF(AND(R133&lt;&gt;"完了",TODAY()&gt;O133),"遅延","")</x:f>
      </x:c>
      <x:c r="U133" s="37" t="str">
        <x:v>API-EMP-005 Source Code</x:v>
      </x:c>
      <x:c r="V133" s="37" t="str"/>
    </x:row>
    <x:row r="134">
      <x:c r="A134" s="37" t="str">
        <x:v>WP-033-CD</x:v>
      </x:c>
      <x:c r="B134" s="37" t="str">
        <x:v>WP-033</x:v>
      </x:c>
      <x:c r="C134" s="37" t="str">
        <x:v>API-EMP-006</x:v>
      </x:c>
      <x:c r="D134" s="37" t="str">
        <x:v>従業員Excel取込</x:v>
      </x:c>
      <x:c r="E134" s="37" t="str">
        <x:v>API</x:v>
      </x:c>
      <x:c r="F134" s="37" t="str">
        <x:v>Spring Boot</x:v>
      </x:c>
      <x:c r="G134" s="37" t="str">
        <x:v>Coding</x:v>
      </x:c>
      <x:c r="H134" s="37" t="str">
        <x:v>PG-02</x:v>
      </x:c>
      <x:c r="I134" s="37" t="str">
        <x:v>Project Leader</x:v>
      </x:c>
      <x:c r="J134" s="37" t="str">
        <x:v>WP-033-DD</x:v>
      </x:c>
      <x:c r="K134" s="37" t="n">
        <x:v>28</x:v>
      </x:c>
      <x:c r="L134" s="37" t="n">
        <x:v>2</x:v>
      </x:c>
      <x:c r="M134" s="37" t="n">
        <x:v>4</x:v>
      </x:c>
      <x:c r="N134" s="38" t="n">
        <x:v>46338</x:v>
      </x:c>
      <x:c r="O134" s="38" t="n">
        <x:v>46343</x:v>
      </x:c>
      <x:c r="P134" s="38"/>
      <x:c r="Q134" s="38"/>
      <x:c r="R134" s="37" t="str">
        <x:v>未着手</x:v>
      </x:c>
      <x:c r="S134" s="40" t="n">
        <x:f>IF(R134="完了",1,IF(R134="修正中",0.8,IF(R134="Review待ち",0.7,IF(R134="作業中",0.3,0))))</x:f>
        <x:v>0</x:v>
      </x:c>
      <x:c r="T134" s="37" t="str">
        <x:f>IF(AND(R134&lt;&gt;"完了",TODAY()&gt;O134),"遅延","")</x:f>
      </x:c>
      <x:c r="U134" s="37" t="str">
        <x:v>API-EMP-006 Source Code</x:v>
      </x:c>
      <x:c r="V134" s="37" t="str"/>
    </x:row>
    <x:row r="135">
      <x:c r="A135" s="37" t="str">
        <x:v>WP-034-CD</x:v>
      </x:c>
      <x:c r="B135" s="37" t="str">
        <x:v>WP-034</x:v>
      </x:c>
      <x:c r="C135" s="37" t="str">
        <x:v>API-EMP-007</x:v>
      </x:c>
      <x:c r="D135" s="37" t="str">
        <x:v>従業員Excel出力</x:v>
      </x:c>
      <x:c r="E135" s="37" t="str">
        <x:v>API</x:v>
      </x:c>
      <x:c r="F135" s="37" t="str">
        <x:v>Spring Boot</x:v>
      </x:c>
      <x:c r="G135" s="37" t="str">
        <x:v>Coding</x:v>
      </x:c>
      <x:c r="H135" s="37" t="str">
        <x:v>PG-02</x:v>
      </x:c>
      <x:c r="I135" s="37" t="str">
        <x:v>Project Leader</x:v>
      </x:c>
      <x:c r="J135" s="37" t="str">
        <x:v>WP-034-DD</x:v>
      </x:c>
      <x:c r="K135" s="37" t="n">
        <x:v>28</x:v>
      </x:c>
      <x:c r="L135" s="37" t="n">
        <x:v>2</x:v>
      </x:c>
      <x:c r="M135" s="37" t="n">
        <x:v>4</x:v>
      </x:c>
      <x:c r="N135" s="38" t="n">
        <x:v>46344</x:v>
      </x:c>
      <x:c r="O135" s="38" t="n">
        <x:v>46350</x:v>
      </x:c>
      <x:c r="P135" s="38"/>
      <x:c r="Q135" s="38"/>
      <x:c r="R135" s="37" t="str">
        <x:v>未着手</x:v>
      </x:c>
      <x:c r="S135" s="40" t="n">
        <x:f>IF(R135="完了",1,IF(R135="修正中",0.8,IF(R135="Review待ち",0.7,IF(R135="作業中",0.3,0))))</x:f>
        <x:v>0</x:v>
      </x:c>
      <x:c r="T135" s="37" t="str">
        <x:f>IF(AND(R135&lt;&gt;"完了",TODAY()&gt;O135),"遅延","")</x:f>
      </x:c>
      <x:c r="U135" s="37" t="str">
        <x:v>API-EMP-007 Source Code</x:v>
      </x:c>
      <x:c r="V135" s="37" t="str"/>
    </x:row>
    <x:row r="136">
      <x:c r="A136" s="37" t="str">
        <x:v>WP-035-CD</x:v>
      </x:c>
      <x:c r="B136" s="37" t="str">
        <x:v>WP-035</x:v>
      </x:c>
      <x:c r="C136" s="37" t="str">
        <x:v>API-DEPT-001</x:v>
      </x:c>
      <x:c r="D136" s="37" t="str">
        <x:v>部門Tree取得</x:v>
      </x:c>
      <x:c r="E136" s="37" t="str">
        <x:v>API</x:v>
      </x:c>
      <x:c r="F136" s="37" t="str">
        <x:v>Spring Boot</x:v>
      </x:c>
      <x:c r="G136" s="37" t="str">
        <x:v>Coding</x:v>
      </x:c>
      <x:c r="H136" s="37" t="str">
        <x:v>PG-02</x:v>
      </x:c>
      <x:c r="I136" s="37" t="str">
        <x:v>Project Leader</x:v>
      </x:c>
      <x:c r="J136" s="37" t="str">
        <x:v>WP-035-DD</x:v>
      </x:c>
      <x:c r="K136" s="37" t="n">
        <x:v>14</x:v>
      </x:c>
      <x:c r="L136" s="37" t="n">
        <x:v>2</x:v>
      </x:c>
      <x:c r="M136" s="37" t="n">
        <x:v>2</x:v>
      </x:c>
      <x:c r="N136" s="38" t="n">
        <x:v>46351</x:v>
      </x:c>
      <x:c r="O136" s="38" t="n">
        <x:v>46352</x:v>
      </x:c>
      <x:c r="P136" s="38"/>
      <x:c r="Q136" s="38"/>
      <x:c r="R136" s="37" t="str">
        <x:v>未着手</x:v>
      </x:c>
      <x:c r="S136" s="40" t="n">
        <x:f>IF(R136="完了",1,IF(R136="修正中",0.8,IF(R136="Review待ち",0.7,IF(R136="作業中",0.3,0))))</x:f>
        <x:v>0</x:v>
      </x:c>
      <x:c r="T136" s="37" t="str">
        <x:f>IF(AND(R136&lt;&gt;"完了",TODAY()&gt;O136),"遅延","")</x:f>
      </x:c>
      <x:c r="U136" s="37" t="str">
        <x:v>API-DEPT-001 Source Code</x:v>
      </x:c>
      <x:c r="V136" s="37" t="str"/>
    </x:row>
    <x:row r="137">
      <x:c r="A137" s="37" t="str">
        <x:v>WP-036-CD</x:v>
      </x:c>
      <x:c r="B137" s="37" t="str">
        <x:v>WP-036</x:v>
      </x:c>
      <x:c r="C137" s="37" t="str">
        <x:v>API-DEPT-002</x:v>
      </x:c>
      <x:c r="D137" s="37" t="str">
        <x:v>部門詳細</x:v>
      </x:c>
      <x:c r="E137" s="37" t="str">
        <x:v>API</x:v>
      </x:c>
      <x:c r="F137" s="37" t="str">
        <x:v>Spring Boot</x:v>
      </x:c>
      <x:c r="G137" s="37" t="str">
        <x:v>Coding</x:v>
      </x:c>
      <x:c r="H137" s="37" t="str">
        <x:v>PG-02</x:v>
      </x:c>
      <x:c r="I137" s="37" t="str">
        <x:v>Project Leader</x:v>
      </x:c>
      <x:c r="J137" s="37" t="str">
        <x:v>WP-036-DD</x:v>
      </x:c>
      <x:c r="K137" s="37" t="n">
        <x:v>14</x:v>
      </x:c>
      <x:c r="L137" s="37" t="n">
        <x:v>2</x:v>
      </x:c>
      <x:c r="M137" s="37" t="n">
        <x:v>2</x:v>
      </x:c>
      <x:c r="N137" s="38" t="n">
        <x:v>46353</x:v>
      </x:c>
      <x:c r="O137" s="38" t="n">
        <x:v>46356</x:v>
      </x:c>
      <x:c r="P137" s="38"/>
      <x:c r="Q137" s="38"/>
      <x:c r="R137" s="37" t="str">
        <x:v>未着手</x:v>
      </x:c>
      <x:c r="S137" s="40" t="n">
        <x:f>IF(R137="完了",1,IF(R137="修正中",0.8,IF(R137="Review待ち",0.7,IF(R137="作業中",0.3,0))))</x:f>
        <x:v>0</x:v>
      </x:c>
      <x:c r="T137" s="37" t="str">
        <x:f>IF(AND(R137&lt;&gt;"完了",TODAY()&gt;O137),"遅延","")</x:f>
      </x:c>
      <x:c r="U137" s="37" t="str">
        <x:v>API-DEPT-002 Source Code</x:v>
      </x:c>
      <x:c r="V137" s="37" t="str"/>
    </x:row>
    <x:row r="138">
      <x:c r="A138" s="37" t="str">
        <x:v>WP-037-CD</x:v>
      </x:c>
      <x:c r="B138" s="37" t="str">
        <x:v>WP-037</x:v>
      </x:c>
      <x:c r="C138" s="37" t="str">
        <x:v>API-DEPT-003</x:v>
      </x:c>
      <x:c r="D138" s="37" t="str">
        <x:v>部門登録</x:v>
      </x:c>
      <x:c r="E138" s="37" t="str">
        <x:v>API</x:v>
      </x:c>
      <x:c r="F138" s="37" t="str">
        <x:v>Spring Boot</x:v>
      </x:c>
      <x:c r="G138" s="37" t="str">
        <x:v>Coding</x:v>
      </x:c>
      <x:c r="H138" s="37" t="str">
        <x:v>PG-02</x:v>
      </x:c>
      <x:c r="I138" s="37" t="str">
        <x:v>Project Leader</x:v>
      </x:c>
      <x:c r="J138" s="37" t="str">
        <x:v>WP-037-DD</x:v>
      </x:c>
      <x:c r="K138" s="37" t="n">
        <x:v>21</x:v>
      </x:c>
      <x:c r="L138" s="37" t="n">
        <x:v>2</x:v>
      </x:c>
      <x:c r="M138" s="37" t="n">
        <x:v>3</x:v>
      </x:c>
      <x:c r="N138" s="38" t="n">
        <x:v>46357</x:v>
      </x:c>
      <x:c r="O138" s="38" t="n">
        <x:v>46359</x:v>
      </x:c>
      <x:c r="P138" s="38"/>
      <x:c r="Q138" s="38"/>
      <x:c r="R138" s="37" t="str">
        <x:v>未着手</x:v>
      </x:c>
      <x:c r="S138" s="40" t="n">
        <x:f>IF(R138="完了",1,IF(R138="修正中",0.8,IF(R138="Review待ち",0.7,IF(R138="作業中",0.3,0))))</x:f>
        <x:v>0</x:v>
      </x:c>
      <x:c r="T138" s="37" t="str">
        <x:f>IF(AND(R138&lt;&gt;"完了",TODAY()&gt;O138),"遅延","")</x:f>
      </x:c>
      <x:c r="U138" s="37" t="str">
        <x:v>API-DEPT-003 Source Code</x:v>
      </x:c>
      <x:c r="V138" s="37" t="str"/>
    </x:row>
    <x:row r="139">
      <x:c r="A139" s="37" t="str">
        <x:v>WP-038-CD</x:v>
      </x:c>
      <x:c r="B139" s="37" t="str">
        <x:v>WP-038</x:v>
      </x:c>
      <x:c r="C139" s="37" t="str">
        <x:v>API-DEPT-004</x:v>
      </x:c>
      <x:c r="D139" s="37" t="str">
        <x:v>部門更新</x:v>
      </x:c>
      <x:c r="E139" s="37" t="str">
        <x:v>API</x:v>
      </x:c>
      <x:c r="F139" s="37" t="str">
        <x:v>Spring Boot</x:v>
      </x:c>
      <x:c r="G139" s="37" t="str">
        <x:v>Coding</x:v>
      </x:c>
      <x:c r="H139" s="37" t="str">
        <x:v>PG-02</x:v>
      </x:c>
      <x:c r="I139" s="37" t="str">
        <x:v>Project Leader</x:v>
      </x:c>
      <x:c r="J139" s="37" t="str">
        <x:v>WP-038-DD</x:v>
      </x:c>
      <x:c r="K139" s="37" t="n">
        <x:v>21</x:v>
      </x:c>
      <x:c r="L139" s="37" t="n">
        <x:v>2</x:v>
      </x:c>
      <x:c r="M139" s="37" t="n">
        <x:v>3</x:v>
      </x:c>
      <x:c r="N139" s="38" t="n">
        <x:v>46360</x:v>
      </x:c>
      <x:c r="O139" s="38" t="n">
        <x:v>46364</x:v>
      </x:c>
      <x:c r="P139" s="38"/>
      <x:c r="Q139" s="38"/>
      <x:c r="R139" s="37" t="str">
        <x:v>未着手</x:v>
      </x:c>
      <x:c r="S139" s="40" t="n">
        <x:f>IF(R139="完了",1,IF(R139="修正中",0.8,IF(R139="Review待ち",0.7,IF(R139="作業中",0.3,0))))</x:f>
        <x:v>0</x:v>
      </x:c>
      <x:c r="T139" s="37" t="str">
        <x:f>IF(AND(R139&lt;&gt;"完了",TODAY()&gt;O139),"遅延","")</x:f>
      </x:c>
      <x:c r="U139" s="37" t="str">
        <x:v>API-DEPT-004 Source Code</x:v>
      </x:c>
      <x:c r="V139" s="37" t="str"/>
    </x:row>
    <x:row r="140">
      <x:c r="A140" s="37" t="str">
        <x:v>WP-039-CD</x:v>
      </x:c>
      <x:c r="B140" s="37" t="str">
        <x:v>WP-039</x:v>
      </x:c>
      <x:c r="C140" s="37" t="str">
        <x:v>API-DEPT-005</x:v>
      </x:c>
      <x:c r="D140" s="37" t="str">
        <x:v>部門削除</x:v>
      </x:c>
      <x:c r="E140" s="37" t="str">
        <x:v>API</x:v>
      </x:c>
      <x:c r="F140" s="37" t="str">
        <x:v>Spring Boot</x:v>
      </x:c>
      <x:c r="G140" s="37" t="str">
        <x:v>Coding</x:v>
      </x:c>
      <x:c r="H140" s="37" t="str">
        <x:v>PG-02</x:v>
      </x:c>
      <x:c r="I140" s="37" t="str">
        <x:v>Project Leader</x:v>
      </x:c>
      <x:c r="J140" s="37" t="str">
        <x:v>WP-039-DD</x:v>
      </x:c>
      <x:c r="K140" s="37" t="n">
        <x:v>21</x:v>
      </x:c>
      <x:c r="L140" s="37" t="n">
        <x:v>2</x:v>
      </x:c>
      <x:c r="M140" s="37" t="n">
        <x:v>3</x:v>
      </x:c>
      <x:c r="N140" s="38" t="n">
        <x:v>46365</x:v>
      </x:c>
      <x:c r="O140" s="38" t="n">
        <x:v>46367</x:v>
      </x:c>
      <x:c r="P140" s="38"/>
      <x:c r="Q140" s="38"/>
      <x:c r="R140" s="37" t="str">
        <x:v>未着手</x:v>
      </x:c>
      <x:c r="S140" s="40" t="n">
        <x:f>IF(R140="完了",1,IF(R140="修正中",0.8,IF(R140="Review待ち",0.7,IF(R140="作業中",0.3,0))))</x:f>
        <x:v>0</x:v>
      </x:c>
      <x:c r="T140" s="37" t="str">
        <x:f>IF(AND(R140&lt;&gt;"完了",TODAY()&gt;O140),"遅延","")</x:f>
      </x:c>
      <x:c r="U140" s="37" t="str">
        <x:v>API-DEPT-005 Source Code</x:v>
      </x:c>
      <x:c r="V140" s="37" t="str"/>
    </x:row>
    <x:row r="141">
      <x:c r="A141" s="37" t="str">
        <x:v>WP-071-CD</x:v>
      </x:c>
      <x:c r="B141" s="37" t="str">
        <x:v>WP-071</x:v>
      </x:c>
      <x:c r="C141" s="37" t="str">
        <x:v>SCR-003-VUE</x:v>
      </x:c>
      <x:c r="D141" s="37" t="str">
        <x:v>従業員一覧画面（Vue）</x:v>
      </x:c>
      <x:c r="E141" s="37" t="str">
        <x:v>画面</x:v>
      </x:c>
      <x:c r="F141" s="37" t="str">
        <x:v>Vue</x:v>
      </x:c>
      <x:c r="G141" s="37" t="str">
        <x:v>Coding</x:v>
      </x:c>
      <x:c r="H141" s="37" t="str">
        <x:v>PG-02</x:v>
      </x:c>
      <x:c r="I141" s="37" t="str">
        <x:v>Project Leader</x:v>
      </x:c>
      <x:c r="J141" s="37" t="str">
        <x:v>WP-071-DD</x:v>
      </x:c>
      <x:c r="K141" s="37" t="n">
        <x:v>14</x:v>
      </x:c>
      <x:c r="L141" s="37" t="n">
        <x:v>2</x:v>
      </x:c>
      <x:c r="M141" s="37" t="n">
        <x:v>2</x:v>
      </x:c>
      <x:c r="N141" s="38" t="n">
        <x:v>46370</x:v>
      </x:c>
      <x:c r="O141" s="38" t="n">
        <x:v>46371</x:v>
      </x:c>
      <x:c r="P141" s="38"/>
      <x:c r="Q141" s="38"/>
      <x:c r="R141" s="37" t="str">
        <x:v>未着手</x:v>
      </x:c>
      <x:c r="S141" s="40" t="n">
        <x:f>IF(R141="完了",1,IF(R141="修正中",0.8,IF(R141="Review待ち",0.7,IF(R141="作業中",0.3,0))))</x:f>
        <x:v>0</x:v>
      </x:c>
      <x:c r="T141" s="37" t="str">
        <x:f>IF(AND(R141&lt;&gt;"完了",TODAY()&gt;O141),"遅延","")</x:f>
      </x:c>
      <x:c r="U141" s="37" t="str">
        <x:v>SCR-003-VUE Source Code</x:v>
      </x:c>
      <x:c r="V141" s="37" t="str"/>
    </x:row>
    <x:row r="142">
      <x:c r="A142" s="37" t="str">
        <x:v>WP-072-CD</x:v>
      </x:c>
      <x:c r="B142" s="37" t="str">
        <x:v>WP-072</x:v>
      </x:c>
      <x:c r="C142" s="37" t="str">
        <x:v>SCR-004-VUE</x:v>
      </x:c>
      <x:c r="D142" s="37" t="str">
        <x:v>従業員登録画面（Vue）</x:v>
      </x:c>
      <x:c r="E142" s="37" t="str">
        <x:v>画面</x:v>
      </x:c>
      <x:c r="F142" s="37" t="str">
        <x:v>Vue</x:v>
      </x:c>
      <x:c r="G142" s="37" t="str">
        <x:v>Coding</x:v>
      </x:c>
      <x:c r="H142" s="37" t="str">
        <x:v>PG-02</x:v>
      </x:c>
      <x:c r="I142" s="37" t="str">
        <x:v>Project Leader</x:v>
      </x:c>
      <x:c r="J142" s="37" t="str">
        <x:v>WP-072-DD</x:v>
      </x:c>
      <x:c r="K142" s="37" t="n">
        <x:v>21</x:v>
      </x:c>
      <x:c r="L142" s="37" t="n">
        <x:v>2</x:v>
      </x:c>
      <x:c r="M142" s="37" t="n">
        <x:v>3</x:v>
      </x:c>
      <x:c r="N142" s="38" t="n">
        <x:v>46372</x:v>
      </x:c>
      <x:c r="O142" s="38" t="n">
        <x:v>46374</x:v>
      </x:c>
      <x:c r="P142" s="38"/>
      <x:c r="Q142" s="38"/>
      <x:c r="R142" s="37" t="str">
        <x:v>未着手</x:v>
      </x:c>
      <x:c r="S142" s="40" t="n">
        <x:f>IF(R142="完了",1,IF(R142="修正中",0.8,IF(R142="Review待ち",0.7,IF(R142="作業中",0.3,0))))</x:f>
        <x:v>0</x:v>
      </x:c>
      <x:c r="T142" s="37" t="str">
        <x:f>IF(AND(R142&lt;&gt;"完了",TODAY()&gt;O142),"遅延","")</x:f>
      </x:c>
      <x:c r="U142" s="37" t="str">
        <x:v>SCR-004-VUE Source Code</x:v>
      </x:c>
      <x:c r="V142" s="37" t="str"/>
    </x:row>
    <x:row r="143">
      <x:c r="A143" s="37" t="str">
        <x:v>WP-073-CD</x:v>
      </x:c>
      <x:c r="B143" s="37" t="str">
        <x:v>WP-073</x:v>
      </x:c>
      <x:c r="C143" s="37" t="str">
        <x:v>SCR-005-VUE</x:v>
      </x:c>
      <x:c r="D143" s="37" t="str">
        <x:v>従業員編集画面（Vue）</x:v>
      </x:c>
      <x:c r="E143" s="37" t="str">
        <x:v>画面</x:v>
      </x:c>
      <x:c r="F143" s="37" t="str">
        <x:v>Vue</x:v>
      </x:c>
      <x:c r="G143" s="37" t="str">
        <x:v>Coding</x:v>
      </x:c>
      <x:c r="H143" s="37" t="str">
        <x:v>PG-02</x:v>
      </x:c>
      <x:c r="I143" s="37" t="str">
        <x:v>Project Leader</x:v>
      </x:c>
      <x:c r="J143" s="37" t="str">
        <x:v>WP-073-DD</x:v>
      </x:c>
      <x:c r="K143" s="37" t="n">
        <x:v>21</x:v>
      </x:c>
      <x:c r="L143" s="37" t="n">
        <x:v>2</x:v>
      </x:c>
      <x:c r="M143" s="37" t="n">
        <x:v>3</x:v>
      </x:c>
      <x:c r="N143" s="38" t="n">
        <x:v>46377</x:v>
      </x:c>
      <x:c r="O143" s="38" t="n">
        <x:v>46379</x:v>
      </x:c>
      <x:c r="P143" s="38"/>
      <x:c r="Q143" s="38"/>
      <x:c r="R143" s="37" t="str">
        <x:v>未着手</x:v>
      </x:c>
      <x:c r="S143" s="40" t="n">
        <x:f>IF(R143="完了",1,IF(R143="修正中",0.8,IF(R143="Review待ち",0.7,IF(R143="作業中",0.3,0))))</x:f>
        <x:v>0</x:v>
      </x:c>
      <x:c r="T143" s="37" t="str">
        <x:f>IF(AND(R143&lt;&gt;"完了",TODAY()&gt;O143),"遅延","")</x:f>
      </x:c>
      <x:c r="U143" s="37" t="str">
        <x:v>SCR-005-VUE Source Code</x:v>
      </x:c>
      <x:c r="V143" s="37" t="str"/>
    </x:row>
    <x:row r="144">
      <x:c r="A144" s="37" t="str">
        <x:v>WP-074-CD</x:v>
      </x:c>
      <x:c r="B144" s="37" t="str">
        <x:v>WP-074</x:v>
      </x:c>
      <x:c r="C144" s="37" t="str">
        <x:v>SCR-006-VUE</x:v>
      </x:c>
      <x:c r="D144" s="37" t="str">
        <x:v>従業員詳細画面（Vue）</x:v>
      </x:c>
      <x:c r="E144" s="37" t="str">
        <x:v>画面</x:v>
      </x:c>
      <x:c r="F144" s="37" t="str">
        <x:v>Vue</x:v>
      </x:c>
      <x:c r="G144" s="37" t="str">
        <x:v>Coding</x:v>
      </x:c>
      <x:c r="H144" s="37" t="str">
        <x:v>PG-02</x:v>
      </x:c>
      <x:c r="I144" s="37" t="str">
        <x:v>Project Leader</x:v>
      </x:c>
      <x:c r="J144" s="37" t="str">
        <x:v>WP-074-DD</x:v>
      </x:c>
      <x:c r="K144" s="37" t="n">
        <x:v>28</x:v>
      </x:c>
      <x:c r="L144" s="37" t="n">
        <x:v>2</x:v>
      </x:c>
      <x:c r="M144" s="37" t="n">
        <x:v>4</x:v>
      </x:c>
      <x:c r="N144" s="38" t="n">
        <x:v>46380</x:v>
      </x:c>
      <x:c r="O144" s="38" t="n">
        <x:v>46385</x:v>
      </x:c>
      <x:c r="P144" s="38"/>
      <x:c r="Q144" s="38"/>
      <x:c r="R144" s="37" t="str">
        <x:v>未着手</x:v>
      </x:c>
      <x:c r="S144" s="40" t="n">
        <x:f>IF(R144="完了",1,IF(R144="修正中",0.8,IF(R144="Review待ち",0.7,IF(R144="作業中",0.3,0))))</x:f>
        <x:v>0</x:v>
      </x:c>
      <x:c r="T144" s="37" t="str">
        <x:f>IF(AND(R144&lt;&gt;"完了",TODAY()&gt;O144),"遅延","")</x:f>
      </x:c>
      <x:c r="U144" s="37" t="str">
        <x:v>SCR-006-VUE Source Code</x:v>
      </x:c>
      <x:c r="V144" s="37" t="str"/>
    </x:row>
    <x:row r="145">
      <x:c r="A145" s="37" t="str">
        <x:v>WP-075-CD</x:v>
      </x:c>
      <x:c r="B145" s="37" t="str">
        <x:v>WP-075</x:v>
      </x:c>
      <x:c r="C145" s="37" t="str">
        <x:v>SCR-007-VUE</x:v>
      </x:c>
      <x:c r="D145" s="37" t="str">
        <x:v>部門管理画面（Vue）</x:v>
      </x:c>
      <x:c r="E145" s="37" t="str">
        <x:v>画面</x:v>
      </x:c>
      <x:c r="F145" s="37" t="str">
        <x:v>Vue</x:v>
      </x:c>
      <x:c r="G145" s="37" t="str">
        <x:v>Coding</x:v>
      </x:c>
      <x:c r="H145" s="37" t="str">
        <x:v>PG-02</x:v>
      </x:c>
      <x:c r="I145" s="37" t="str">
        <x:v>Project Leader</x:v>
      </x:c>
      <x:c r="J145" s="37" t="str">
        <x:v>WP-075-DD</x:v>
      </x:c>
      <x:c r="K145" s="37" t="n">
        <x:v>28</x:v>
      </x:c>
      <x:c r="L145" s="37" t="n">
        <x:v>2</x:v>
      </x:c>
      <x:c r="M145" s="37" t="n">
        <x:v>4</x:v>
      </x:c>
      <x:c r="N145" s="38" t="n">
        <x:v>46386</x:v>
      </x:c>
      <x:c r="O145" s="38" t="n">
        <x:v>46392</x:v>
      </x:c>
      <x:c r="P145" s="38"/>
      <x:c r="Q145" s="38"/>
      <x:c r="R145" s="37" t="str">
        <x:v>未着手</x:v>
      </x:c>
      <x:c r="S145" s="40" t="n">
        <x:f>IF(R145="完了",1,IF(R145="修正中",0.8,IF(R145="Review待ち",0.7,IF(R145="作業中",0.3,0))))</x:f>
        <x:v>0</x:v>
      </x:c>
      <x:c r="T145" s="37" t="str">
        <x:f>IF(AND(R145&lt;&gt;"完了",TODAY()&gt;O145),"遅延","")</x:f>
      </x:c>
      <x:c r="U145" s="37" t="str">
        <x:v>SCR-007-VUE Source Code</x:v>
      </x:c>
      <x:c r="V145" s="37" t="str"/>
    </x:row>
    <x:row r="146">
      <x:c r="A146" s="37" t="str">
        <x:v>WP-004-CD</x:v>
      </x:c>
      <x:c r="B146" s="37" t="str">
        <x:v>WP-004</x:v>
      </x:c>
      <x:c r="C146" s="37" t="str">
        <x:v>COM-REACT-001</x:v>
      </x:c>
      <x:c r="D146" s="37" t="str">
        <x:v>React共通基盤</x:v>
      </x:c>
      <x:c r="E146" s="37" t="str">
        <x:v>共通</x:v>
      </x:c>
      <x:c r="F146" s="37" t="str">
        <x:v>Backend/共通</x:v>
      </x:c>
      <x:c r="G146" s="37" t="str">
        <x:v>Coding</x:v>
      </x:c>
      <x:c r="H146" s="37" t="str">
        <x:v>PG-03</x:v>
      </x:c>
      <x:c r="I146" s="37" t="str">
        <x:v>Project Leader</x:v>
      </x:c>
      <x:c r="J146" s="37" t="str">
        <x:v>WP-004-DD</x:v>
      </x:c>
      <x:c r="K146" s="37" t="n">
        <x:v>21</x:v>
      </x:c>
      <x:c r="L146" s="37" t="n">
        <x:v>2</x:v>
      </x:c>
      <x:c r="M146" s="37" t="n">
        <x:v>3</x:v>
      </x:c>
      <x:c r="N146" s="38" t="n">
        <x:v>46315</x:v>
      </x:c>
      <x:c r="O146" s="38" t="n">
        <x:v>46317</x:v>
      </x:c>
      <x:c r="P146" s="38"/>
      <x:c r="Q146" s="38"/>
      <x:c r="R146" s="37" t="str">
        <x:v>未着手</x:v>
      </x:c>
      <x:c r="S146" s="40" t="n">
        <x:f>IF(R146="完了",1,IF(R146="修正中",0.8,IF(R146="Review待ち",0.7,IF(R146="作業中",0.3,0))))</x:f>
        <x:v>0</x:v>
      </x:c>
      <x:c r="T146" s="37" t="str">
        <x:f>IF(AND(R146&lt;&gt;"完了",TODAY()&gt;O146),"遅延","")</x:f>
      </x:c>
      <x:c r="U146" s="37" t="str">
        <x:v>COM-REACT-001 Source Code</x:v>
      </x:c>
      <x:c r="V146" s="37" t="str"/>
    </x:row>
    <x:row r="147">
      <x:c r="A147" s="37" t="str">
        <x:v>WP-021-CD</x:v>
      </x:c>
      <x:c r="B147" s="37" t="str">
        <x:v>WP-021</x:v>
      </x:c>
      <x:c r="C147" s="37" t="str">
        <x:v>API-ROLE-001</x:v>
      </x:c>
      <x:c r="D147" s="37" t="str">
        <x:v>Role一覧</x:v>
      </x:c>
      <x:c r="E147" s="37" t="str">
        <x:v>API</x:v>
      </x:c>
      <x:c r="F147" s="37" t="str">
        <x:v>Spring Boot</x:v>
      </x:c>
      <x:c r="G147" s="37" t="str">
        <x:v>Coding</x:v>
      </x:c>
      <x:c r="H147" s="37" t="str">
        <x:v>PG-03</x:v>
      </x:c>
      <x:c r="I147" s="37" t="str">
        <x:v>Project Leader</x:v>
      </x:c>
      <x:c r="J147" s="37" t="str">
        <x:v>WP-021-DD</x:v>
      </x:c>
      <x:c r="K147" s="37" t="n">
        <x:v>14</x:v>
      </x:c>
      <x:c r="L147" s="37" t="n">
        <x:v>2</x:v>
      </x:c>
      <x:c r="M147" s="37" t="n">
        <x:v>2</x:v>
      </x:c>
      <x:c r="N147" s="38" t="n">
        <x:v>46318</x:v>
      </x:c>
      <x:c r="O147" s="38" t="n">
        <x:v>46321</x:v>
      </x:c>
      <x:c r="P147" s="38"/>
      <x:c r="Q147" s="38"/>
      <x:c r="R147" s="37" t="str">
        <x:v>未着手</x:v>
      </x:c>
      <x:c r="S147" s="40" t="n">
        <x:f>IF(R147="完了",1,IF(R147="修正中",0.8,IF(R147="Review待ち",0.7,IF(R147="作業中",0.3,0))))</x:f>
        <x:v>0</x:v>
      </x:c>
      <x:c r="T147" s="37" t="str">
        <x:f>IF(AND(R147&lt;&gt;"完了",TODAY()&gt;O147),"遅延","")</x:f>
      </x:c>
      <x:c r="U147" s="37" t="str">
        <x:v>API-ROLE-001 Source Code</x:v>
      </x:c>
      <x:c r="V147" s="37" t="str"/>
    </x:row>
    <x:row r="148">
      <x:c r="A148" s="37" t="str">
        <x:v>WP-022-CD</x:v>
      </x:c>
      <x:c r="B148" s="37" t="str">
        <x:v>WP-022</x:v>
      </x:c>
      <x:c r="C148" s="37" t="str">
        <x:v>API-ROLE-002</x:v>
      </x:c>
      <x:c r="D148" s="37" t="str">
        <x:v>Role詳細</x:v>
      </x:c>
      <x:c r="E148" s="37" t="str">
        <x:v>API</x:v>
      </x:c>
      <x:c r="F148" s="37" t="str">
        <x:v>Spring Boot</x:v>
      </x:c>
      <x:c r="G148" s="37" t="str">
        <x:v>Coding</x:v>
      </x:c>
      <x:c r="H148" s="37" t="str">
        <x:v>PG-03</x:v>
      </x:c>
      <x:c r="I148" s="37" t="str">
        <x:v>Project Leader</x:v>
      </x:c>
      <x:c r="J148" s="37" t="str">
        <x:v>WP-022-DD</x:v>
      </x:c>
      <x:c r="K148" s="37" t="n">
        <x:v>14</x:v>
      </x:c>
      <x:c r="L148" s="37" t="n">
        <x:v>2</x:v>
      </x:c>
      <x:c r="M148" s="37" t="n">
        <x:v>2</x:v>
      </x:c>
      <x:c r="N148" s="38" t="n">
        <x:v>46322</x:v>
      </x:c>
      <x:c r="O148" s="38" t="n">
        <x:v>46323</x:v>
      </x:c>
      <x:c r="P148" s="38"/>
      <x:c r="Q148" s="38"/>
      <x:c r="R148" s="37" t="str">
        <x:v>未着手</x:v>
      </x:c>
      <x:c r="S148" s="40" t="n">
        <x:f>IF(R148="完了",1,IF(R148="修正中",0.8,IF(R148="Review待ち",0.7,IF(R148="作業中",0.3,0))))</x:f>
        <x:v>0</x:v>
      </x:c>
      <x:c r="T148" s="37" t="str">
        <x:f>IF(AND(R148&lt;&gt;"完了",TODAY()&gt;O148),"遅延","")</x:f>
      </x:c>
      <x:c r="U148" s="37" t="str">
        <x:v>API-ROLE-002 Source Code</x:v>
      </x:c>
      <x:c r="V148" s="37" t="str"/>
    </x:row>
    <x:row r="149">
      <x:c r="A149" s="37" t="str">
        <x:v>WP-023-CD</x:v>
      </x:c>
      <x:c r="B149" s="37" t="str">
        <x:v>WP-023</x:v>
      </x:c>
      <x:c r="C149" s="37" t="str">
        <x:v>API-ROLE-003</x:v>
      </x:c>
      <x:c r="D149" s="37" t="str">
        <x:v>Role登録</x:v>
      </x:c>
      <x:c r="E149" s="37" t="str">
        <x:v>API</x:v>
      </x:c>
      <x:c r="F149" s="37" t="str">
        <x:v>Spring Boot</x:v>
      </x:c>
      <x:c r="G149" s="37" t="str">
        <x:v>Coding</x:v>
      </x:c>
      <x:c r="H149" s="37" t="str">
        <x:v>PG-03</x:v>
      </x:c>
      <x:c r="I149" s="37" t="str">
        <x:v>Project Leader</x:v>
      </x:c>
      <x:c r="J149" s="37" t="str">
        <x:v>WP-023-DD</x:v>
      </x:c>
      <x:c r="K149" s="37" t="n">
        <x:v>21</x:v>
      </x:c>
      <x:c r="L149" s="37" t="n">
        <x:v>2</x:v>
      </x:c>
      <x:c r="M149" s="37" t="n">
        <x:v>3</x:v>
      </x:c>
      <x:c r="N149" s="38" t="n">
        <x:v>46324</x:v>
      </x:c>
      <x:c r="O149" s="38" t="n">
        <x:v>46328</x:v>
      </x:c>
      <x:c r="P149" s="38"/>
      <x:c r="Q149" s="38"/>
      <x:c r="R149" s="37" t="str">
        <x:v>未着手</x:v>
      </x:c>
      <x:c r="S149" s="40" t="n">
        <x:f>IF(R149="完了",1,IF(R149="修正中",0.8,IF(R149="Review待ち",0.7,IF(R149="作業中",0.3,0))))</x:f>
        <x:v>0</x:v>
      </x:c>
      <x:c r="T149" s="37" t="str">
        <x:f>IF(AND(R149&lt;&gt;"完了",TODAY()&gt;O149),"遅延","")</x:f>
      </x:c>
      <x:c r="U149" s="37" t="str">
        <x:v>API-ROLE-003 Source Code</x:v>
      </x:c>
      <x:c r="V149" s="37" t="str"/>
    </x:row>
    <x:row r="150">
      <x:c r="A150" s="37" t="str">
        <x:v>WP-024-CD</x:v>
      </x:c>
      <x:c r="B150" s="37" t="str">
        <x:v>WP-024</x:v>
      </x:c>
      <x:c r="C150" s="37" t="str">
        <x:v>API-ROLE-004</x:v>
      </x:c>
      <x:c r="D150" s="37" t="str">
        <x:v>Role更新</x:v>
      </x:c>
      <x:c r="E150" s="37" t="str">
        <x:v>API</x:v>
      </x:c>
      <x:c r="F150" s="37" t="str">
        <x:v>Spring Boot</x:v>
      </x:c>
      <x:c r="G150" s="37" t="str">
        <x:v>Coding</x:v>
      </x:c>
      <x:c r="H150" s="37" t="str">
        <x:v>PG-03</x:v>
      </x:c>
      <x:c r="I150" s="37" t="str">
        <x:v>Project Leader</x:v>
      </x:c>
      <x:c r="J150" s="37" t="str">
        <x:v>WP-024-DD</x:v>
      </x:c>
      <x:c r="K150" s="37" t="n">
        <x:v>21</x:v>
      </x:c>
      <x:c r="L150" s="37" t="n">
        <x:v>2</x:v>
      </x:c>
      <x:c r="M150" s="37" t="n">
        <x:v>3</x:v>
      </x:c>
      <x:c r="N150" s="38" t="n">
        <x:v>46330</x:v>
      </x:c>
      <x:c r="O150" s="38" t="n">
        <x:v>46332</x:v>
      </x:c>
      <x:c r="P150" s="38"/>
      <x:c r="Q150" s="38"/>
      <x:c r="R150" s="37" t="str">
        <x:v>未着手</x:v>
      </x:c>
      <x:c r="S150" s="40" t="n">
        <x:f>IF(R150="完了",1,IF(R150="修正中",0.8,IF(R150="Review待ち",0.7,IF(R150="作業中",0.3,0))))</x:f>
        <x:v>0</x:v>
      </x:c>
      <x:c r="T150" s="37" t="str">
        <x:f>IF(AND(R150&lt;&gt;"完了",TODAY()&gt;O150),"遅延","")</x:f>
      </x:c>
      <x:c r="U150" s="37" t="str">
        <x:v>API-ROLE-004 Source Code</x:v>
      </x:c>
      <x:c r="V150" s="37" t="str"/>
    </x:row>
    <x:row r="151">
      <x:c r="A151" s="37" t="str">
        <x:v>WP-025-CD</x:v>
      </x:c>
      <x:c r="B151" s="37" t="str">
        <x:v>WP-025</x:v>
      </x:c>
      <x:c r="C151" s="37" t="str">
        <x:v>API-ROLE-005</x:v>
      </x:c>
      <x:c r="D151" s="37" t="str">
        <x:v>Role状態変更</x:v>
      </x:c>
      <x:c r="E151" s="37" t="str">
        <x:v>API</x:v>
      </x:c>
      <x:c r="F151" s="37" t="str">
        <x:v>Spring Boot</x:v>
      </x:c>
      <x:c r="G151" s="37" t="str">
        <x:v>Coding</x:v>
      </x:c>
      <x:c r="H151" s="37" t="str">
        <x:v>PG-03</x:v>
      </x:c>
      <x:c r="I151" s="37" t="str">
        <x:v>Project Leader</x:v>
      </x:c>
      <x:c r="J151" s="37" t="str">
        <x:v>WP-025-DD</x:v>
      </x:c>
      <x:c r="K151" s="37" t="n">
        <x:v>21</x:v>
      </x:c>
      <x:c r="L151" s="37" t="n">
        <x:v>2</x:v>
      </x:c>
      <x:c r="M151" s="37" t="n">
        <x:v>3</x:v>
      </x:c>
      <x:c r="N151" s="38" t="n">
        <x:v>46335</x:v>
      </x:c>
      <x:c r="O151" s="38" t="n">
        <x:v>46337</x:v>
      </x:c>
      <x:c r="P151" s="38"/>
      <x:c r="Q151" s="38"/>
      <x:c r="R151" s="37" t="str">
        <x:v>未着手</x:v>
      </x:c>
      <x:c r="S151" s="40" t="n">
        <x:f>IF(R151="完了",1,IF(R151="修正中",0.8,IF(R151="Review待ち",0.7,IF(R151="作業中",0.3,0))))</x:f>
        <x:v>0</x:v>
      </x:c>
      <x:c r="T151" s="37" t="str">
        <x:f>IF(AND(R151&lt;&gt;"完了",TODAY()&gt;O151),"遅延","")</x:f>
      </x:c>
      <x:c r="U151" s="37" t="str">
        <x:v>API-ROLE-005 Source Code</x:v>
      </x:c>
      <x:c r="V151" s="37" t="str"/>
    </x:row>
    <x:row r="152">
      <x:c r="A152" s="37" t="str">
        <x:v>WP-026-CD</x:v>
      </x:c>
      <x:c r="B152" s="37" t="str">
        <x:v>WP-026</x:v>
      </x:c>
      <x:c r="C152" s="37" t="str">
        <x:v>API-LOG-001</x:v>
      </x:c>
      <x:c r="D152" s="37" t="str">
        <x:v>操作Log検索</x:v>
      </x:c>
      <x:c r="E152" s="37" t="str">
        <x:v>API</x:v>
      </x:c>
      <x:c r="F152" s="37" t="str">
        <x:v>Spring Boot</x:v>
      </x:c>
      <x:c r="G152" s="37" t="str">
        <x:v>Coding</x:v>
      </x:c>
      <x:c r="H152" s="37" t="str">
        <x:v>PG-03</x:v>
      </x:c>
      <x:c r="I152" s="37" t="str">
        <x:v>Project Leader</x:v>
      </x:c>
      <x:c r="J152" s="37" t="str">
        <x:v>WP-026-DD</x:v>
      </x:c>
      <x:c r="K152" s="37" t="n">
        <x:v>14</x:v>
      </x:c>
      <x:c r="L152" s="37" t="n">
        <x:v>2</x:v>
      </x:c>
      <x:c r="M152" s="37" t="n">
        <x:v>2</x:v>
      </x:c>
      <x:c r="N152" s="38" t="n">
        <x:v>46338</x:v>
      </x:c>
      <x:c r="O152" s="38" t="n">
        <x:v>46339</x:v>
      </x:c>
      <x:c r="P152" s="38"/>
      <x:c r="Q152" s="38"/>
      <x:c r="R152" s="37" t="str">
        <x:v>未着手</x:v>
      </x:c>
      <x:c r="S152" s="40" t="n">
        <x:f>IF(R152="完了",1,IF(R152="修正中",0.8,IF(R152="Review待ち",0.7,IF(R152="作業中",0.3,0))))</x:f>
        <x:v>0</x:v>
      </x:c>
      <x:c r="T152" s="37" t="str">
        <x:f>IF(AND(R152&lt;&gt;"完了",TODAY()&gt;O152),"遅延","")</x:f>
      </x:c>
      <x:c r="U152" s="37" t="str">
        <x:v>API-LOG-001 Source Code</x:v>
      </x:c>
      <x:c r="V152" s="37" t="str"/>
    </x:row>
    <x:row r="153">
      <x:c r="A153" s="37" t="str">
        <x:v>WP-027-CD</x:v>
      </x:c>
      <x:c r="B153" s="37" t="str">
        <x:v>WP-027</x:v>
      </x:c>
      <x:c r="C153" s="37" t="str">
        <x:v>API-LOG-002</x:v>
      </x:c>
      <x:c r="D153" s="37" t="str">
        <x:v>操作Log詳細</x:v>
      </x:c>
      <x:c r="E153" s="37" t="str">
        <x:v>API</x:v>
      </x:c>
      <x:c r="F153" s="37" t="str">
        <x:v>Spring Boot</x:v>
      </x:c>
      <x:c r="G153" s="37" t="str">
        <x:v>Coding</x:v>
      </x:c>
      <x:c r="H153" s="37" t="str">
        <x:v>PG-03</x:v>
      </x:c>
      <x:c r="I153" s="37" t="str">
        <x:v>Project Leader</x:v>
      </x:c>
      <x:c r="J153" s="37" t="str">
        <x:v>WP-027-DD</x:v>
      </x:c>
      <x:c r="K153" s="37" t="n">
        <x:v>14</x:v>
      </x:c>
      <x:c r="L153" s="37" t="n">
        <x:v>2</x:v>
      </x:c>
      <x:c r="M153" s="37" t="n">
        <x:v>2</x:v>
      </x:c>
      <x:c r="N153" s="38" t="n">
        <x:v>46342</x:v>
      </x:c>
      <x:c r="O153" s="38" t="n">
        <x:v>46343</x:v>
      </x:c>
      <x:c r="P153" s="38"/>
      <x:c r="Q153" s="38"/>
      <x:c r="R153" s="37" t="str">
        <x:v>未着手</x:v>
      </x:c>
      <x:c r="S153" s="40" t="n">
        <x:f>IF(R153="完了",1,IF(R153="修正中",0.8,IF(R153="Review待ち",0.7,IF(R153="作業中",0.3,0))))</x:f>
        <x:v>0</x:v>
      </x:c>
      <x:c r="T153" s="37" t="str">
        <x:f>IF(AND(R153&lt;&gt;"完了",TODAY()&gt;O153),"遅延","")</x:f>
      </x:c>
      <x:c r="U153" s="37" t="str">
        <x:v>API-LOG-002 Source Code</x:v>
      </x:c>
      <x:c r="V153" s="37" t="str"/>
    </x:row>
    <x:row r="154">
      <x:c r="A154" s="37" t="str">
        <x:v>WP-040-CD</x:v>
      </x:c>
      <x:c r="B154" s="37" t="str">
        <x:v>WP-040</x:v>
      </x:c>
      <x:c r="C154" s="37" t="str">
        <x:v>API-PRJ-001</x:v>
      </x:c>
      <x:c r="D154" s="37" t="str">
        <x:v>PJ検索</x:v>
      </x:c>
      <x:c r="E154" s="37" t="str">
        <x:v>API</x:v>
      </x:c>
      <x:c r="F154" s="37" t="str">
        <x:v>Spring Boot</x:v>
      </x:c>
      <x:c r="G154" s="37" t="str">
        <x:v>Coding</x:v>
      </x:c>
      <x:c r="H154" s="37" t="str">
        <x:v>PG-03</x:v>
      </x:c>
      <x:c r="I154" s="37" t="str">
        <x:v>Project Leader</x:v>
      </x:c>
      <x:c r="J154" s="37" t="str">
        <x:v>WP-040-DD</x:v>
      </x:c>
      <x:c r="K154" s="37" t="n">
        <x:v>14</x:v>
      </x:c>
      <x:c r="L154" s="37" t="n">
        <x:v>2</x:v>
      </x:c>
      <x:c r="M154" s="37" t="n">
        <x:v>2</x:v>
      </x:c>
      <x:c r="N154" s="38" t="n">
        <x:v>46344</x:v>
      </x:c>
      <x:c r="O154" s="38" t="n">
        <x:v>46345</x:v>
      </x:c>
      <x:c r="P154" s="38"/>
      <x:c r="Q154" s="38"/>
      <x:c r="R154" s="37" t="str">
        <x:v>未着手</x:v>
      </x:c>
      <x:c r="S154" s="40" t="n">
        <x:f>IF(R154="完了",1,IF(R154="修正中",0.8,IF(R154="Review待ち",0.7,IF(R154="作業中",0.3,0))))</x:f>
        <x:v>0</x:v>
      </x:c>
      <x:c r="T154" s="37" t="str">
        <x:f>IF(AND(R154&lt;&gt;"完了",TODAY()&gt;O154),"遅延","")</x:f>
      </x:c>
      <x:c r="U154" s="37" t="str">
        <x:v>API-PRJ-001 Source Code</x:v>
      </x:c>
      <x:c r="V154" s="37" t="str"/>
    </x:row>
    <x:row r="155">
      <x:c r="A155" s="37" t="str">
        <x:v>WP-041-CD</x:v>
      </x:c>
      <x:c r="B155" s="37" t="str">
        <x:v>WP-041</x:v>
      </x:c>
      <x:c r="C155" s="37" t="str">
        <x:v>API-PRJ-002</x:v>
      </x:c>
      <x:c r="D155" s="37" t="str">
        <x:v>PJ詳細</x:v>
      </x:c>
      <x:c r="E155" s="37" t="str">
        <x:v>API</x:v>
      </x:c>
      <x:c r="F155" s="37" t="str">
        <x:v>Spring Boot</x:v>
      </x:c>
      <x:c r="G155" s="37" t="str">
        <x:v>Coding</x:v>
      </x:c>
      <x:c r="H155" s="37" t="str">
        <x:v>PG-03</x:v>
      </x:c>
      <x:c r="I155" s="37" t="str">
        <x:v>Project Leader</x:v>
      </x:c>
      <x:c r="J155" s="37" t="str">
        <x:v>WP-041-DD</x:v>
      </x:c>
      <x:c r="K155" s="37" t="n">
        <x:v>14</x:v>
      </x:c>
      <x:c r="L155" s="37" t="n">
        <x:v>2</x:v>
      </x:c>
      <x:c r="M155" s="37" t="n">
        <x:v>2</x:v>
      </x:c>
      <x:c r="N155" s="38" t="n">
        <x:v>46346</x:v>
      </x:c>
      <x:c r="O155" s="38" t="n">
        <x:v>46350</x:v>
      </x:c>
      <x:c r="P155" s="38"/>
      <x:c r="Q155" s="38"/>
      <x:c r="R155" s="37" t="str">
        <x:v>未着手</x:v>
      </x:c>
      <x:c r="S155" s="40" t="n">
        <x:f>IF(R155="完了",1,IF(R155="修正中",0.8,IF(R155="Review待ち",0.7,IF(R155="作業中",0.3,0))))</x:f>
        <x:v>0</x:v>
      </x:c>
      <x:c r="T155" s="37" t="str">
        <x:f>IF(AND(R155&lt;&gt;"完了",TODAY()&gt;O155),"遅延","")</x:f>
      </x:c>
      <x:c r="U155" s="37" t="str">
        <x:v>API-PRJ-002 Source Code</x:v>
      </x:c>
      <x:c r="V155" s="37" t="str"/>
    </x:row>
    <x:row r="156">
      <x:c r="A156" s="37" t="str">
        <x:v>WP-042-CD</x:v>
      </x:c>
      <x:c r="B156" s="37" t="str">
        <x:v>WP-042</x:v>
      </x:c>
      <x:c r="C156" s="37" t="str">
        <x:v>API-PRJ-003</x:v>
      </x:c>
      <x:c r="D156" s="37" t="str">
        <x:v>PJ登録</x:v>
      </x:c>
      <x:c r="E156" s="37" t="str">
        <x:v>API</x:v>
      </x:c>
      <x:c r="F156" s="37" t="str">
        <x:v>Spring Boot</x:v>
      </x:c>
      <x:c r="G156" s="37" t="str">
        <x:v>Coding</x:v>
      </x:c>
      <x:c r="H156" s="37" t="str">
        <x:v>PG-03</x:v>
      </x:c>
      <x:c r="I156" s="37" t="str">
        <x:v>Project Leader</x:v>
      </x:c>
      <x:c r="J156" s="37" t="str">
        <x:v>WP-042-DD</x:v>
      </x:c>
      <x:c r="K156" s="37" t="n">
        <x:v>21</x:v>
      </x:c>
      <x:c r="L156" s="37" t="n">
        <x:v>2</x:v>
      </x:c>
      <x:c r="M156" s="37" t="n">
        <x:v>3</x:v>
      </x:c>
      <x:c r="N156" s="38" t="n">
        <x:v>46351</x:v>
      </x:c>
      <x:c r="O156" s="38" t="n">
        <x:v>46353</x:v>
      </x:c>
      <x:c r="P156" s="38"/>
      <x:c r="Q156" s="38"/>
      <x:c r="R156" s="37" t="str">
        <x:v>未着手</x:v>
      </x:c>
      <x:c r="S156" s="40" t="n">
        <x:f>IF(R156="完了",1,IF(R156="修正中",0.8,IF(R156="Review待ち",0.7,IF(R156="作業中",0.3,0))))</x:f>
        <x:v>0</x:v>
      </x:c>
      <x:c r="T156" s="37" t="str">
        <x:f>IF(AND(R156&lt;&gt;"完了",TODAY()&gt;O156),"遅延","")</x:f>
      </x:c>
      <x:c r="U156" s="37" t="str">
        <x:v>API-PRJ-003 Source Code</x:v>
      </x:c>
      <x:c r="V156" s="37" t="str"/>
    </x:row>
    <x:row r="157">
      <x:c r="A157" s="37" t="str">
        <x:v>WP-043-CD</x:v>
      </x:c>
      <x:c r="B157" s="37" t="str">
        <x:v>WP-043</x:v>
      </x:c>
      <x:c r="C157" s="37" t="str">
        <x:v>API-PRJ-004</x:v>
      </x:c>
      <x:c r="D157" s="37" t="str">
        <x:v>PJ更新</x:v>
      </x:c>
      <x:c r="E157" s="37" t="str">
        <x:v>API</x:v>
      </x:c>
      <x:c r="F157" s="37" t="str">
        <x:v>Spring Boot</x:v>
      </x:c>
      <x:c r="G157" s="37" t="str">
        <x:v>Coding</x:v>
      </x:c>
      <x:c r="H157" s="37" t="str">
        <x:v>PG-03</x:v>
      </x:c>
      <x:c r="I157" s="37" t="str">
        <x:v>Project Leader</x:v>
      </x:c>
      <x:c r="J157" s="37" t="str">
        <x:v>WP-043-DD</x:v>
      </x:c>
      <x:c r="K157" s="37" t="n">
        <x:v>21</x:v>
      </x:c>
      <x:c r="L157" s="37" t="n">
        <x:v>2</x:v>
      </x:c>
      <x:c r="M157" s="37" t="n">
        <x:v>3</x:v>
      </x:c>
      <x:c r="N157" s="38" t="n">
        <x:v>46356</x:v>
      </x:c>
      <x:c r="O157" s="38" t="n">
        <x:v>46358</x:v>
      </x:c>
      <x:c r="P157" s="38"/>
      <x:c r="Q157" s="38"/>
      <x:c r="R157" s="37" t="str">
        <x:v>未着手</x:v>
      </x:c>
      <x:c r="S157" s="40" t="n">
        <x:f>IF(R157="完了",1,IF(R157="修正中",0.8,IF(R157="Review待ち",0.7,IF(R157="作業中",0.3,0))))</x:f>
        <x:v>0</x:v>
      </x:c>
      <x:c r="T157" s="37" t="str">
        <x:f>IF(AND(R157&lt;&gt;"完了",TODAY()&gt;O157),"遅延","")</x:f>
      </x:c>
      <x:c r="U157" s="37" t="str">
        <x:v>API-PRJ-004 Source Code</x:v>
      </x:c>
      <x:c r="V157" s="37" t="str"/>
    </x:row>
    <x:row r="158">
      <x:c r="A158" s="37" t="str">
        <x:v>WP-044-CD</x:v>
      </x:c>
      <x:c r="B158" s="37" t="str">
        <x:v>WP-044</x:v>
      </x:c>
      <x:c r="C158" s="37" t="str">
        <x:v>API-PRJ-005</x:v>
      </x:c>
      <x:c r="D158" s="37" t="str">
        <x:v>PJ状態変更</x:v>
      </x:c>
      <x:c r="E158" s="37" t="str">
        <x:v>API</x:v>
      </x:c>
      <x:c r="F158" s="37" t="str">
        <x:v>Spring Boot</x:v>
      </x:c>
      <x:c r="G158" s="37" t="str">
        <x:v>Coding</x:v>
      </x:c>
      <x:c r="H158" s="37" t="str">
        <x:v>PG-03</x:v>
      </x:c>
      <x:c r="I158" s="37" t="str">
        <x:v>Project Leader</x:v>
      </x:c>
      <x:c r="J158" s="37" t="str">
        <x:v>WP-044-DD</x:v>
      </x:c>
      <x:c r="K158" s="37" t="n">
        <x:v>21</x:v>
      </x:c>
      <x:c r="L158" s="37" t="n">
        <x:v>2</x:v>
      </x:c>
      <x:c r="M158" s="37" t="n">
        <x:v>3</x:v>
      </x:c>
      <x:c r="N158" s="38" t="n">
        <x:v>46359</x:v>
      </x:c>
      <x:c r="O158" s="38" t="n">
        <x:v>46363</x:v>
      </x:c>
      <x:c r="P158" s="38"/>
      <x:c r="Q158" s="38"/>
      <x:c r="R158" s="37" t="str">
        <x:v>未着手</x:v>
      </x:c>
      <x:c r="S158" s="40" t="n">
        <x:f>IF(R158="完了",1,IF(R158="修正中",0.8,IF(R158="Review待ち",0.7,IF(R158="作業中",0.3,0))))</x:f>
        <x:v>0</x:v>
      </x:c>
      <x:c r="T158" s="37" t="str">
        <x:f>IF(AND(R158&lt;&gt;"完了",TODAY()&gt;O158),"遅延","")</x:f>
      </x:c>
      <x:c r="U158" s="37" t="str">
        <x:v>API-PRJ-005 Source Code</x:v>
      </x:c>
      <x:c r="V158" s="37" t="str"/>
    </x:row>
    <x:row r="159">
      <x:c r="A159" s="37" t="str">
        <x:v>WP-045-CD</x:v>
      </x:c>
      <x:c r="B159" s="37" t="str">
        <x:v>WP-045</x:v>
      </x:c>
      <x:c r="C159" s="37" t="str">
        <x:v>API-PRJ-006</x:v>
      </x:c>
      <x:c r="D159" s="37" t="str">
        <x:v>Member検索</x:v>
      </x:c>
      <x:c r="E159" s="37" t="str">
        <x:v>API</x:v>
      </x:c>
      <x:c r="F159" s="37" t="str">
        <x:v>Spring Boot</x:v>
      </x:c>
      <x:c r="G159" s="37" t="str">
        <x:v>Coding</x:v>
      </x:c>
      <x:c r="H159" s="37" t="str">
        <x:v>PG-03</x:v>
      </x:c>
      <x:c r="I159" s="37" t="str">
        <x:v>Project Leader</x:v>
      </x:c>
      <x:c r="J159" s="37" t="str">
        <x:v>WP-045-DD</x:v>
      </x:c>
      <x:c r="K159" s="37" t="n">
        <x:v>14</x:v>
      </x:c>
      <x:c r="L159" s="37" t="n">
        <x:v>2</x:v>
      </x:c>
      <x:c r="M159" s="37" t="n">
        <x:v>2</x:v>
      </x:c>
      <x:c r="N159" s="38" t="n">
        <x:v>46364</x:v>
      </x:c>
      <x:c r="O159" s="38" t="n">
        <x:v>46365</x:v>
      </x:c>
      <x:c r="P159" s="38"/>
      <x:c r="Q159" s="38"/>
      <x:c r="R159" s="37" t="str">
        <x:v>未着手</x:v>
      </x:c>
      <x:c r="S159" s="40" t="n">
        <x:f>IF(R159="完了",1,IF(R159="修正中",0.8,IF(R159="Review待ち",0.7,IF(R159="作業中",0.3,0))))</x:f>
        <x:v>0</x:v>
      </x:c>
      <x:c r="T159" s="37" t="str">
        <x:f>IF(AND(R159&lt;&gt;"完了",TODAY()&gt;O159),"遅延","")</x:f>
      </x:c>
      <x:c r="U159" s="37" t="str">
        <x:v>API-PRJ-006 Source Code</x:v>
      </x:c>
      <x:c r="V159" s="37" t="str"/>
    </x:row>
    <x:row r="160">
      <x:c r="A160" s="37" t="str">
        <x:v>WP-046-CD</x:v>
      </x:c>
      <x:c r="B160" s="37" t="str">
        <x:v>WP-046</x:v>
      </x:c>
      <x:c r="C160" s="37" t="str">
        <x:v>API-PRJ-007</x:v>
      </x:c>
      <x:c r="D160" s="37" t="str">
        <x:v>Member追加</x:v>
      </x:c>
      <x:c r="E160" s="37" t="str">
        <x:v>API</x:v>
      </x:c>
      <x:c r="F160" s="37" t="str">
        <x:v>Spring Boot</x:v>
      </x:c>
      <x:c r="G160" s="37" t="str">
        <x:v>Coding</x:v>
      </x:c>
      <x:c r="H160" s="37" t="str">
        <x:v>PG-03</x:v>
      </x:c>
      <x:c r="I160" s="37" t="str">
        <x:v>Project Leader</x:v>
      </x:c>
      <x:c r="J160" s="37" t="str">
        <x:v>WP-046-DD</x:v>
      </x:c>
      <x:c r="K160" s="37" t="n">
        <x:v>21</x:v>
      </x:c>
      <x:c r="L160" s="37" t="n">
        <x:v>2</x:v>
      </x:c>
      <x:c r="M160" s="37" t="n">
        <x:v>3</x:v>
      </x:c>
      <x:c r="N160" s="38" t="n">
        <x:v>46366</x:v>
      </x:c>
      <x:c r="O160" s="38" t="n">
        <x:v>46370</x:v>
      </x:c>
      <x:c r="P160" s="38"/>
      <x:c r="Q160" s="38"/>
      <x:c r="R160" s="37" t="str">
        <x:v>未着手</x:v>
      </x:c>
      <x:c r="S160" s="40" t="n">
        <x:f>IF(R160="完了",1,IF(R160="修正中",0.8,IF(R160="Review待ち",0.7,IF(R160="作業中",0.3,0))))</x:f>
        <x:v>0</x:v>
      </x:c>
      <x:c r="T160" s="37" t="str">
        <x:f>IF(AND(R160&lt;&gt;"完了",TODAY()&gt;O160),"遅延","")</x:f>
      </x:c>
      <x:c r="U160" s="37" t="str">
        <x:v>API-PRJ-007 Source Code</x:v>
      </x:c>
      <x:c r="V160" s="37" t="str"/>
    </x:row>
    <x:row r="161">
      <x:c r="A161" s="37" t="str">
        <x:v>WP-047-CD</x:v>
      </x:c>
      <x:c r="B161" s="37" t="str">
        <x:v>WP-047</x:v>
      </x:c>
      <x:c r="C161" s="37" t="str">
        <x:v>API-PRJ-008</x:v>
      </x:c>
      <x:c r="D161" s="37" t="str">
        <x:v>Member削除</x:v>
      </x:c>
      <x:c r="E161" s="37" t="str">
        <x:v>API</x:v>
      </x:c>
      <x:c r="F161" s="37" t="str">
        <x:v>Spring Boot</x:v>
      </x:c>
      <x:c r="G161" s="37" t="str">
        <x:v>Coding</x:v>
      </x:c>
      <x:c r="H161" s="37" t="str">
        <x:v>PG-03</x:v>
      </x:c>
      <x:c r="I161" s="37" t="str">
        <x:v>Project Leader</x:v>
      </x:c>
      <x:c r="J161" s="37" t="str">
        <x:v>WP-047-DD</x:v>
      </x:c>
      <x:c r="K161" s="37" t="n">
        <x:v>21</x:v>
      </x:c>
      <x:c r="L161" s="37" t="n">
        <x:v>2</x:v>
      </x:c>
      <x:c r="M161" s="37" t="n">
        <x:v>3</x:v>
      </x:c>
      <x:c r="N161" s="38" t="n">
        <x:v>46371</x:v>
      </x:c>
      <x:c r="O161" s="38" t="n">
        <x:v>46373</x:v>
      </x:c>
      <x:c r="P161" s="38"/>
      <x:c r="Q161" s="38"/>
      <x:c r="R161" s="37" t="str">
        <x:v>未着手</x:v>
      </x:c>
      <x:c r="S161" s="40" t="n">
        <x:f>IF(R161="完了",1,IF(R161="修正中",0.8,IF(R161="Review待ち",0.7,IF(R161="作業中",0.3,0))))</x:f>
        <x:v>0</x:v>
      </x:c>
      <x:c r="T161" s="37" t="str">
        <x:f>IF(AND(R161&lt;&gt;"完了",TODAY()&gt;O161),"遅延","")</x:f>
      </x:c>
      <x:c r="U161" s="37" t="str">
        <x:v>API-PRJ-008 Source Code</x:v>
      </x:c>
      <x:c r="V161" s="37" t="str"/>
    </x:row>
    <x:row r="162">
      <x:c r="A162" s="37" t="str">
        <x:v>WP-076-CD</x:v>
      </x:c>
      <x:c r="B162" s="37" t="str">
        <x:v>WP-076</x:v>
      </x:c>
      <x:c r="C162" s="37" t="str">
        <x:v>SCR-008-REACT</x:v>
      </x:c>
      <x:c r="D162" s="37" t="str">
        <x:v>プロジェクト一覧画面（React）</x:v>
      </x:c>
      <x:c r="E162" s="37" t="str">
        <x:v>画面</x:v>
      </x:c>
      <x:c r="F162" s="37" t="str">
        <x:v>React</x:v>
      </x:c>
      <x:c r="G162" s="37" t="str">
        <x:v>Coding</x:v>
      </x:c>
      <x:c r="H162" s="37" t="str">
        <x:v>PG-03</x:v>
      </x:c>
      <x:c r="I162" s="37" t="str">
        <x:v>Project Leader</x:v>
      </x:c>
      <x:c r="J162" s="37" t="str">
        <x:v>WP-076-DD</x:v>
      </x:c>
      <x:c r="K162" s="37" t="n">
        <x:v>14</x:v>
      </x:c>
      <x:c r="L162" s="37" t="n">
        <x:v>2</x:v>
      </x:c>
      <x:c r="M162" s="37" t="n">
        <x:v>2</x:v>
      </x:c>
      <x:c r="N162" s="38" t="n">
        <x:v>46374</x:v>
      </x:c>
      <x:c r="O162" s="38" t="n">
        <x:v>46377</x:v>
      </x:c>
      <x:c r="P162" s="38"/>
      <x:c r="Q162" s="38"/>
      <x:c r="R162" s="37" t="str">
        <x:v>未着手</x:v>
      </x:c>
      <x:c r="S162" s="40" t="n">
        <x:f>IF(R162="完了",1,IF(R162="修正中",0.8,IF(R162="Review待ち",0.7,IF(R162="作業中",0.3,0))))</x:f>
        <x:v>0</x:v>
      </x:c>
      <x:c r="T162" s="37" t="str">
        <x:f>IF(AND(R162&lt;&gt;"完了",TODAY()&gt;O162),"遅延","")</x:f>
      </x:c>
      <x:c r="U162" s="37" t="str">
        <x:v>SCR-008-REACT Source Code</x:v>
      </x:c>
      <x:c r="V162" s="37" t="str"/>
    </x:row>
    <x:row r="163">
      <x:c r="A163" s="37" t="str">
        <x:v>WP-077-CD</x:v>
      </x:c>
      <x:c r="B163" s="37" t="str">
        <x:v>WP-077</x:v>
      </x:c>
      <x:c r="C163" s="37" t="str">
        <x:v>SCR-009-REACT</x:v>
      </x:c>
      <x:c r="D163" s="37" t="str">
        <x:v>プロジェクト登録画面（React）</x:v>
      </x:c>
      <x:c r="E163" s="37" t="str">
        <x:v>画面</x:v>
      </x:c>
      <x:c r="F163" s="37" t="str">
        <x:v>React</x:v>
      </x:c>
      <x:c r="G163" s="37" t="str">
        <x:v>Coding</x:v>
      </x:c>
      <x:c r="H163" s="37" t="str">
        <x:v>PG-03</x:v>
      </x:c>
      <x:c r="I163" s="37" t="str">
        <x:v>Project Leader</x:v>
      </x:c>
      <x:c r="J163" s="37" t="str">
        <x:v>WP-077-DD</x:v>
      </x:c>
      <x:c r="K163" s="37" t="n">
        <x:v>21</x:v>
      </x:c>
      <x:c r="L163" s="37" t="n">
        <x:v>2</x:v>
      </x:c>
      <x:c r="M163" s="37" t="n">
        <x:v>3</x:v>
      </x:c>
      <x:c r="N163" s="38" t="n">
        <x:v>46378</x:v>
      </x:c>
      <x:c r="O163" s="38" t="n">
        <x:v>46380</x:v>
      </x:c>
      <x:c r="P163" s="38"/>
      <x:c r="Q163" s="38"/>
      <x:c r="R163" s="37" t="str">
        <x:v>未着手</x:v>
      </x:c>
      <x:c r="S163" s="40" t="n">
        <x:f>IF(R163="完了",1,IF(R163="修正中",0.8,IF(R163="Review待ち",0.7,IF(R163="作業中",0.3,0))))</x:f>
        <x:v>0</x:v>
      </x:c>
      <x:c r="T163" s="37" t="str">
        <x:f>IF(AND(R163&lt;&gt;"完了",TODAY()&gt;O163),"遅延","")</x:f>
      </x:c>
      <x:c r="U163" s="37" t="str">
        <x:v>SCR-009-REACT Source Code</x:v>
      </x:c>
      <x:c r="V163" s="37" t="str"/>
    </x:row>
    <x:row r="164">
      <x:c r="A164" s="37" t="str">
        <x:v>WP-078-CD</x:v>
      </x:c>
      <x:c r="B164" s="37" t="str">
        <x:v>WP-078</x:v>
      </x:c>
      <x:c r="C164" s="37" t="str">
        <x:v>SCR-010-REACT</x:v>
      </x:c>
      <x:c r="D164" s="37" t="str">
        <x:v>プロジェクト編集画面（React）</x:v>
      </x:c>
      <x:c r="E164" s="37" t="str">
        <x:v>画面</x:v>
      </x:c>
      <x:c r="F164" s="37" t="str">
        <x:v>React</x:v>
      </x:c>
      <x:c r="G164" s="37" t="str">
        <x:v>Coding</x:v>
      </x:c>
      <x:c r="H164" s="37" t="str">
        <x:v>PG-03</x:v>
      </x:c>
      <x:c r="I164" s="37" t="str">
        <x:v>Project Leader</x:v>
      </x:c>
      <x:c r="J164" s="37" t="str">
        <x:v>WP-078-DD</x:v>
      </x:c>
      <x:c r="K164" s="37" t="n">
        <x:v>21</x:v>
      </x:c>
      <x:c r="L164" s="37" t="n">
        <x:v>2</x:v>
      </x:c>
      <x:c r="M164" s="37" t="n">
        <x:v>3</x:v>
      </x:c>
      <x:c r="N164" s="38" t="n">
        <x:v>46381</x:v>
      </x:c>
      <x:c r="O164" s="38" t="n">
        <x:v>46385</x:v>
      </x:c>
      <x:c r="P164" s="38"/>
      <x:c r="Q164" s="38"/>
      <x:c r="R164" s="37" t="str">
        <x:v>未着手</x:v>
      </x:c>
      <x:c r="S164" s="40" t="n">
        <x:f>IF(R164="完了",1,IF(R164="修正中",0.8,IF(R164="Review待ち",0.7,IF(R164="作業中",0.3,0))))</x:f>
        <x:v>0</x:v>
      </x:c>
      <x:c r="T164" s="37" t="str">
        <x:f>IF(AND(R164&lt;&gt;"完了",TODAY()&gt;O164),"遅延","")</x:f>
      </x:c>
      <x:c r="U164" s="37" t="str">
        <x:v>SCR-010-REACT Source Code</x:v>
      </x:c>
      <x:c r="V164" s="37" t="str"/>
    </x:row>
    <x:row r="165">
      <x:c r="A165" s="37" t="str">
        <x:v>WP-079-CD</x:v>
      </x:c>
      <x:c r="B165" s="37" t="str">
        <x:v>WP-079</x:v>
      </x:c>
      <x:c r="C165" s="37" t="str">
        <x:v>SCR-011-REACT</x:v>
      </x:c>
      <x:c r="D165" s="37" t="str">
        <x:v>プロジェクト詳細画面（React）</x:v>
      </x:c>
      <x:c r="E165" s="37" t="str">
        <x:v>画面</x:v>
      </x:c>
      <x:c r="F165" s="37" t="str">
        <x:v>React</x:v>
      </x:c>
      <x:c r="G165" s="37" t="str">
        <x:v>Coding</x:v>
      </x:c>
      <x:c r="H165" s="37" t="str">
        <x:v>PG-03</x:v>
      </x:c>
      <x:c r="I165" s="37" t="str">
        <x:v>Project Leader</x:v>
      </x:c>
      <x:c r="J165" s="37" t="str">
        <x:v>WP-079-DD</x:v>
      </x:c>
      <x:c r="K165" s="37" t="n">
        <x:v>28</x:v>
      </x:c>
      <x:c r="L165" s="37" t="n">
        <x:v>2</x:v>
      </x:c>
      <x:c r="M165" s="37" t="n">
        <x:v>4</x:v>
      </x:c>
      <x:c r="N165" s="38" t="n">
        <x:v>46386</x:v>
      </x:c>
      <x:c r="O165" s="38" t="n">
        <x:v>46392</x:v>
      </x:c>
      <x:c r="P165" s="38"/>
      <x:c r="Q165" s="38"/>
      <x:c r="R165" s="37" t="str">
        <x:v>未着手</x:v>
      </x:c>
      <x:c r="S165" s="40" t="n">
        <x:f>IF(R165="完了",1,IF(R165="修正中",0.8,IF(R165="Review待ち",0.7,IF(R165="作業中",0.3,0))))</x:f>
        <x:v>0</x:v>
      </x:c>
      <x:c r="T165" s="37" t="str">
        <x:f>IF(AND(R165&lt;&gt;"完了",TODAY()&gt;O165),"遅延","")</x:f>
      </x:c>
      <x:c r="U165" s="37" t="str">
        <x:v>SCR-011-REACT Source Code</x:v>
      </x:c>
      <x:c r="V165" s="37" t="str"/>
    </x:row>
    <x:row r="166">
      <x:c r="A166" s="37" t="str">
        <x:v>WP-080-CD</x:v>
      </x:c>
      <x:c r="B166" s="37" t="str">
        <x:v>WP-080</x:v>
      </x:c>
      <x:c r="C166" s="37" t="str">
        <x:v>SCR-012-REACT</x:v>
      </x:c>
      <x:c r="D166" s="37" t="str">
        <x:v>プロジェクトメンバー管理画面（React）</x:v>
      </x:c>
      <x:c r="E166" s="37" t="str">
        <x:v>画面</x:v>
      </x:c>
      <x:c r="F166" s="37" t="str">
        <x:v>React</x:v>
      </x:c>
      <x:c r="G166" s="37" t="str">
        <x:v>Coding</x:v>
      </x:c>
      <x:c r="H166" s="37" t="str">
        <x:v>PG-03</x:v>
      </x:c>
      <x:c r="I166" s="37" t="str">
        <x:v>Project Leader</x:v>
      </x:c>
      <x:c r="J166" s="37" t="str">
        <x:v>WP-080-DD</x:v>
      </x:c>
      <x:c r="K166" s="37" t="n">
        <x:v>28</x:v>
      </x:c>
      <x:c r="L166" s="37" t="n">
        <x:v>2</x:v>
      </x:c>
      <x:c r="M166" s="37" t="n">
        <x:v>4</x:v>
      </x:c>
      <x:c r="N166" s="38" t="n">
        <x:v>46393</x:v>
      </x:c>
      <x:c r="O166" s="38" t="n">
        <x:v>46399</x:v>
      </x:c>
      <x:c r="P166" s="38"/>
      <x:c r="Q166" s="38"/>
      <x:c r="R166" s="37" t="str">
        <x:v>未着手</x:v>
      </x:c>
      <x:c r="S166" s="40" t="n">
        <x:f>IF(R166="完了",1,IF(R166="修正中",0.8,IF(R166="Review待ち",0.7,IF(R166="作業中",0.3,0))))</x:f>
        <x:v>0</x:v>
      </x:c>
      <x:c r="T166" s="37" t="str">
        <x:f>IF(AND(R166&lt;&gt;"完了",TODAY()&gt;O166),"遅延","")</x:f>
      </x:c>
      <x:c r="U166" s="37" t="str">
        <x:v>SCR-012-REACT Source Code</x:v>
      </x:c>
      <x:c r="V166" s="37" t="str"/>
    </x:row>
    <x:row r="167">
      <x:c r="A167" s="37" t="str">
        <x:v>WP-092-CD</x:v>
      </x:c>
      <x:c r="B167" s="37" t="str">
        <x:v>WP-092</x:v>
      </x:c>
      <x:c r="C167" s="37" t="str">
        <x:v>SCR-024-REACT</x:v>
      </x:c>
      <x:c r="D167" s="37" t="str">
        <x:v>ロール管理画面（React）</x:v>
      </x:c>
      <x:c r="E167" s="37" t="str">
        <x:v>画面</x:v>
      </x:c>
      <x:c r="F167" s="37" t="str">
        <x:v>React</x:v>
      </x:c>
      <x:c r="G167" s="37" t="str">
        <x:v>Coding</x:v>
      </x:c>
      <x:c r="H167" s="37" t="str">
        <x:v>PG-03</x:v>
      </x:c>
      <x:c r="I167" s="37" t="str">
        <x:v>Project Leader</x:v>
      </x:c>
      <x:c r="J167" s="37" t="str">
        <x:v>WP-092-DD</x:v>
      </x:c>
      <x:c r="K167" s="37" t="n">
        <x:v>28</x:v>
      </x:c>
      <x:c r="L167" s="37" t="n">
        <x:v>2</x:v>
      </x:c>
      <x:c r="M167" s="37" t="n">
        <x:v>4</x:v>
      </x:c>
      <x:c r="N167" s="38" t="n">
        <x:v>46400</x:v>
      </x:c>
      <x:c r="O167" s="38" t="n">
        <x:v>46405</x:v>
      </x:c>
      <x:c r="P167" s="38"/>
      <x:c r="Q167" s="38"/>
      <x:c r="R167" s="37" t="str">
        <x:v>未着手</x:v>
      </x:c>
      <x:c r="S167" s="40" t="n">
        <x:f>IF(R167="完了",1,IF(R167="修正中",0.8,IF(R167="Review待ち",0.7,IF(R167="作業中",0.3,0))))</x:f>
        <x:v>0</x:v>
      </x:c>
      <x:c r="T167" s="37" t="str">
        <x:f>IF(AND(R167&lt;&gt;"完了",TODAY()&gt;O167),"遅延","")</x:f>
      </x:c>
      <x:c r="U167" s="37" t="str">
        <x:v>SCR-024-REACT Source Code</x:v>
      </x:c>
      <x:c r="V167" s="37" t="str"/>
    </x:row>
    <x:row r="168">
      <x:c r="A168" s="37" t="str">
        <x:v>WP-005-CD</x:v>
      </x:c>
      <x:c r="B168" s="37" t="str">
        <x:v>WP-005</x:v>
      </x:c>
      <x:c r="C168" s="37" t="str">
        <x:v>COM-FILE-001</x:v>
      </x:c>
      <x:c r="D168" s="37" t="str">
        <x:v>File共通処理</x:v>
      </x:c>
      <x:c r="E168" s="37" t="str">
        <x:v>共通</x:v>
      </x:c>
      <x:c r="F168" s="37" t="str">
        <x:v>Backend/共通</x:v>
      </x:c>
      <x:c r="G168" s="37" t="str">
        <x:v>Coding</x:v>
      </x:c>
      <x:c r="H168" s="37" t="str">
        <x:v>PG-04</x:v>
      </x:c>
      <x:c r="I168" s="37" t="str">
        <x:v>Project Leader</x:v>
      </x:c>
      <x:c r="J168" s="37" t="str">
        <x:v>WP-005-DD</x:v>
      </x:c>
      <x:c r="K168" s="37" t="n">
        <x:v>28</x:v>
      </x:c>
      <x:c r="L168" s="37" t="n">
        <x:v>2</x:v>
      </x:c>
      <x:c r="M168" s="37" t="n">
        <x:v>4</x:v>
      </x:c>
      <x:c r="N168" s="38" t="n">
        <x:v>46315</x:v>
      </x:c>
      <x:c r="O168" s="38" t="n">
        <x:v>46318</x:v>
      </x:c>
      <x:c r="P168" s="38"/>
      <x:c r="Q168" s="38"/>
      <x:c r="R168" s="37" t="str">
        <x:v>未着手</x:v>
      </x:c>
      <x:c r="S168" s="40" t="n">
        <x:f>IF(R168="完了",1,IF(R168="修正中",0.8,IF(R168="Review待ち",0.7,IF(R168="作業中",0.3,0))))</x:f>
        <x:v>0</x:v>
      </x:c>
      <x:c r="T168" s="37" t="str">
        <x:f>IF(AND(R168&lt;&gt;"完了",TODAY()&gt;O168),"遅延","")</x:f>
      </x:c>
      <x:c r="U168" s="37" t="str">
        <x:v>COM-FILE-001 Source Code</x:v>
      </x:c>
      <x:c r="V168" s="37" t="str"/>
    </x:row>
    <x:row r="169">
      <x:c r="A169" s="37" t="str">
        <x:v>WP-048-CD</x:v>
      </x:c>
      <x:c r="B169" s="37" t="str">
        <x:v>WP-048</x:v>
      </x:c>
      <x:c r="C169" s="37" t="str">
        <x:v>API-TASK-001</x:v>
      </x:c>
      <x:c r="D169" s="37" t="str">
        <x:v>Task検索</x:v>
      </x:c>
      <x:c r="E169" s="37" t="str">
        <x:v>API</x:v>
      </x:c>
      <x:c r="F169" s="37" t="str">
        <x:v>Spring Boot</x:v>
      </x:c>
      <x:c r="G169" s="37" t="str">
        <x:v>Coding</x:v>
      </x:c>
      <x:c r="H169" s="37" t="str">
        <x:v>PG-04</x:v>
      </x:c>
      <x:c r="I169" s="37" t="str">
        <x:v>Project Leader</x:v>
      </x:c>
      <x:c r="J169" s="37" t="str">
        <x:v>WP-048-DD</x:v>
      </x:c>
      <x:c r="K169" s="37" t="n">
        <x:v>14</x:v>
      </x:c>
      <x:c r="L169" s="37" t="n">
        <x:v>2</x:v>
      </x:c>
      <x:c r="M169" s="37" t="n">
        <x:v>2</x:v>
      </x:c>
      <x:c r="N169" s="38" t="n">
        <x:v>46321</x:v>
      </x:c>
      <x:c r="O169" s="38" t="n">
        <x:v>46322</x:v>
      </x:c>
      <x:c r="P169" s="38"/>
      <x:c r="Q169" s="38"/>
      <x:c r="R169" s="37" t="str">
        <x:v>未着手</x:v>
      </x:c>
      <x:c r="S169" s="40" t="n">
        <x:f>IF(R169="完了",1,IF(R169="修正中",0.8,IF(R169="Review待ち",0.7,IF(R169="作業中",0.3,0))))</x:f>
        <x:v>0</x:v>
      </x:c>
      <x:c r="T169" s="37" t="str">
        <x:f>IF(AND(R169&lt;&gt;"完了",TODAY()&gt;O169),"遅延","")</x:f>
      </x:c>
      <x:c r="U169" s="37" t="str">
        <x:v>API-TASK-001 Source Code</x:v>
      </x:c>
      <x:c r="V169" s="37" t="str"/>
    </x:row>
    <x:row r="170">
      <x:c r="A170" s="37" t="str">
        <x:v>WP-049-CD</x:v>
      </x:c>
      <x:c r="B170" s="37" t="str">
        <x:v>WP-049</x:v>
      </x:c>
      <x:c r="C170" s="37" t="str">
        <x:v>API-TASK-002</x:v>
      </x:c>
      <x:c r="D170" s="37" t="str">
        <x:v>Task詳細</x:v>
      </x:c>
      <x:c r="E170" s="37" t="str">
        <x:v>API</x:v>
      </x:c>
      <x:c r="F170" s="37" t="str">
        <x:v>Spring Boot</x:v>
      </x:c>
      <x:c r="G170" s="37" t="str">
        <x:v>Coding</x:v>
      </x:c>
      <x:c r="H170" s="37" t="str">
        <x:v>PG-04</x:v>
      </x:c>
      <x:c r="I170" s="37" t="str">
        <x:v>Project Leader</x:v>
      </x:c>
      <x:c r="J170" s="37" t="str">
        <x:v>WP-049-DD</x:v>
      </x:c>
      <x:c r="K170" s="37" t="n">
        <x:v>14</x:v>
      </x:c>
      <x:c r="L170" s="37" t="n">
        <x:v>2</x:v>
      </x:c>
      <x:c r="M170" s="37" t="n">
        <x:v>2</x:v>
      </x:c>
      <x:c r="N170" s="38" t="n">
        <x:v>46323</x:v>
      </x:c>
      <x:c r="O170" s="38" t="n">
        <x:v>46324</x:v>
      </x:c>
      <x:c r="P170" s="38"/>
      <x:c r="Q170" s="38"/>
      <x:c r="R170" s="37" t="str">
        <x:v>未着手</x:v>
      </x:c>
      <x:c r="S170" s="40" t="n">
        <x:f>IF(R170="完了",1,IF(R170="修正中",0.8,IF(R170="Review待ち",0.7,IF(R170="作業中",0.3,0))))</x:f>
        <x:v>0</x:v>
      </x:c>
      <x:c r="T170" s="37" t="str">
        <x:f>IF(AND(R170&lt;&gt;"完了",TODAY()&gt;O170),"遅延","")</x:f>
      </x:c>
      <x:c r="U170" s="37" t="str">
        <x:v>API-TASK-002 Source Code</x:v>
      </x:c>
      <x:c r="V170" s="37" t="str"/>
    </x:row>
    <x:row r="171">
      <x:c r="A171" s="37" t="str">
        <x:v>WP-050-CD</x:v>
      </x:c>
      <x:c r="B171" s="37" t="str">
        <x:v>WP-050</x:v>
      </x:c>
      <x:c r="C171" s="37" t="str">
        <x:v>API-TASK-003</x:v>
      </x:c>
      <x:c r="D171" s="37" t="str">
        <x:v>Task登録</x:v>
      </x:c>
      <x:c r="E171" s="37" t="str">
        <x:v>API</x:v>
      </x:c>
      <x:c r="F171" s="37" t="str">
        <x:v>Spring Boot</x:v>
      </x:c>
      <x:c r="G171" s="37" t="str">
        <x:v>Coding</x:v>
      </x:c>
      <x:c r="H171" s="37" t="str">
        <x:v>PG-04</x:v>
      </x:c>
      <x:c r="I171" s="37" t="str">
        <x:v>Project Leader</x:v>
      </x:c>
      <x:c r="J171" s="37" t="str">
        <x:v>WP-050-DD</x:v>
      </x:c>
      <x:c r="K171" s="37" t="n">
        <x:v>21</x:v>
      </x:c>
      <x:c r="L171" s="37" t="n">
        <x:v>2</x:v>
      </x:c>
      <x:c r="M171" s="37" t="n">
        <x:v>3</x:v>
      </x:c>
      <x:c r="N171" s="38" t="n">
        <x:v>46325</x:v>
      </x:c>
      <x:c r="O171" s="38" t="n">
        <x:v>46330</x:v>
      </x:c>
      <x:c r="P171" s="38"/>
      <x:c r="Q171" s="38"/>
      <x:c r="R171" s="37" t="str">
        <x:v>未着手</x:v>
      </x:c>
      <x:c r="S171" s="40" t="n">
        <x:f>IF(R171="完了",1,IF(R171="修正中",0.8,IF(R171="Review待ち",0.7,IF(R171="作業中",0.3,0))))</x:f>
        <x:v>0</x:v>
      </x:c>
      <x:c r="T171" s="37" t="str">
        <x:f>IF(AND(R171&lt;&gt;"完了",TODAY()&gt;O171),"遅延","")</x:f>
      </x:c>
      <x:c r="U171" s="37" t="str">
        <x:v>API-TASK-003 Source Code</x:v>
      </x:c>
      <x:c r="V171" s="37" t="str"/>
    </x:row>
    <x:row r="172">
      <x:c r="A172" s="37" t="str">
        <x:v>WP-051-CD</x:v>
      </x:c>
      <x:c r="B172" s="37" t="str">
        <x:v>WP-051</x:v>
      </x:c>
      <x:c r="C172" s="37" t="str">
        <x:v>API-TASK-004</x:v>
      </x:c>
      <x:c r="D172" s="37" t="str">
        <x:v>Task更新</x:v>
      </x:c>
      <x:c r="E172" s="37" t="str">
        <x:v>API</x:v>
      </x:c>
      <x:c r="F172" s="37" t="str">
        <x:v>Spring Boot</x:v>
      </x:c>
      <x:c r="G172" s="37" t="str">
        <x:v>Coding</x:v>
      </x:c>
      <x:c r="H172" s="37" t="str">
        <x:v>PG-04</x:v>
      </x:c>
      <x:c r="I172" s="37" t="str">
        <x:v>Project Leader</x:v>
      </x:c>
      <x:c r="J172" s="37" t="str">
        <x:v>WP-051-DD</x:v>
      </x:c>
      <x:c r="K172" s="37" t="n">
        <x:v>21</x:v>
      </x:c>
      <x:c r="L172" s="37" t="n">
        <x:v>2</x:v>
      </x:c>
      <x:c r="M172" s="37" t="n">
        <x:v>3</x:v>
      </x:c>
      <x:c r="N172" s="38" t="n">
        <x:v>46331</x:v>
      </x:c>
      <x:c r="O172" s="38" t="n">
        <x:v>46335</x:v>
      </x:c>
      <x:c r="P172" s="38"/>
      <x:c r="Q172" s="38"/>
      <x:c r="R172" s="37" t="str">
        <x:v>未着手</x:v>
      </x:c>
      <x:c r="S172" s="40" t="n">
        <x:f>IF(R172="完了",1,IF(R172="修正中",0.8,IF(R172="Review待ち",0.7,IF(R172="作業中",0.3,0))))</x:f>
        <x:v>0</x:v>
      </x:c>
      <x:c r="T172" s="37" t="str">
        <x:f>IF(AND(R172&lt;&gt;"完了",TODAY()&gt;O172),"遅延","")</x:f>
      </x:c>
      <x:c r="U172" s="37" t="str">
        <x:v>API-TASK-004 Source Code</x:v>
      </x:c>
      <x:c r="V172" s="37" t="str"/>
    </x:row>
    <x:row r="173">
      <x:c r="A173" s="37" t="str">
        <x:v>WP-052-CD</x:v>
      </x:c>
      <x:c r="B173" s="37" t="str">
        <x:v>WP-052</x:v>
      </x:c>
      <x:c r="C173" s="37" t="str">
        <x:v>API-TASK-005</x:v>
      </x:c>
      <x:c r="D173" s="37" t="str">
        <x:v>Task状態更新</x:v>
      </x:c>
      <x:c r="E173" s="37" t="str">
        <x:v>API</x:v>
      </x:c>
      <x:c r="F173" s="37" t="str">
        <x:v>Spring Boot</x:v>
      </x:c>
      <x:c r="G173" s="37" t="str">
        <x:v>Coding</x:v>
      </x:c>
      <x:c r="H173" s="37" t="str">
        <x:v>PG-04</x:v>
      </x:c>
      <x:c r="I173" s="37" t="str">
        <x:v>Project Leader</x:v>
      </x:c>
      <x:c r="J173" s="37" t="str">
        <x:v>WP-052-DD</x:v>
      </x:c>
      <x:c r="K173" s="37" t="n">
        <x:v>21</x:v>
      </x:c>
      <x:c r="L173" s="37" t="n">
        <x:v>2</x:v>
      </x:c>
      <x:c r="M173" s="37" t="n">
        <x:v>3</x:v>
      </x:c>
      <x:c r="N173" s="38" t="n">
        <x:v>46336</x:v>
      </x:c>
      <x:c r="O173" s="38" t="n">
        <x:v>46338</x:v>
      </x:c>
      <x:c r="P173" s="38"/>
      <x:c r="Q173" s="38"/>
      <x:c r="R173" s="37" t="str">
        <x:v>未着手</x:v>
      </x:c>
      <x:c r="S173" s="40" t="n">
        <x:f>IF(R173="完了",1,IF(R173="修正中",0.8,IF(R173="Review待ち",0.7,IF(R173="作業中",0.3,0))))</x:f>
        <x:v>0</x:v>
      </x:c>
      <x:c r="T173" s="37" t="str">
        <x:f>IF(AND(R173&lt;&gt;"完了",TODAY()&gt;O173),"遅延","")</x:f>
      </x:c>
      <x:c r="U173" s="37" t="str">
        <x:v>API-TASK-005 Source Code</x:v>
      </x:c>
      <x:c r="V173" s="37" t="str"/>
    </x:row>
    <x:row r="174">
      <x:c r="A174" s="37" t="str">
        <x:v>WP-053-CD</x:v>
      </x:c>
      <x:c r="B174" s="37" t="str">
        <x:v>WP-053</x:v>
      </x:c>
      <x:c r="C174" s="37" t="str">
        <x:v>API-TASK-006</x:v>
      </x:c>
      <x:c r="D174" s="37" t="str">
        <x:v>進捗更新</x:v>
      </x:c>
      <x:c r="E174" s="37" t="str">
        <x:v>API</x:v>
      </x:c>
      <x:c r="F174" s="37" t="str">
        <x:v>Spring Boot</x:v>
      </x:c>
      <x:c r="G174" s="37" t="str">
        <x:v>Coding</x:v>
      </x:c>
      <x:c r="H174" s="37" t="str">
        <x:v>PG-04</x:v>
      </x:c>
      <x:c r="I174" s="37" t="str">
        <x:v>Project Leader</x:v>
      </x:c>
      <x:c r="J174" s="37" t="str">
        <x:v>WP-053-DD</x:v>
      </x:c>
      <x:c r="K174" s="37" t="n">
        <x:v>21</x:v>
      </x:c>
      <x:c r="L174" s="37" t="n">
        <x:v>2</x:v>
      </x:c>
      <x:c r="M174" s="37" t="n">
        <x:v>3</x:v>
      </x:c>
      <x:c r="N174" s="38" t="n">
        <x:v>46339</x:v>
      </x:c>
      <x:c r="O174" s="38" t="n">
        <x:v>46343</x:v>
      </x:c>
      <x:c r="P174" s="38"/>
      <x:c r="Q174" s="38"/>
      <x:c r="R174" s="37" t="str">
        <x:v>未着手</x:v>
      </x:c>
      <x:c r="S174" s="40" t="n">
        <x:f>IF(R174="完了",1,IF(R174="修正中",0.8,IF(R174="Review待ち",0.7,IF(R174="作業中",0.3,0))))</x:f>
        <x:v>0</x:v>
      </x:c>
      <x:c r="T174" s="37" t="str">
        <x:f>IF(AND(R174&lt;&gt;"完了",TODAY()&gt;O174),"遅延","")</x:f>
      </x:c>
      <x:c r="U174" s="37" t="str">
        <x:v>API-TASK-006 Source Code</x:v>
      </x:c>
      <x:c r="V174" s="37" t="str"/>
    </x:row>
    <x:row r="175">
      <x:c r="A175" s="37" t="str">
        <x:v>WP-054-CD</x:v>
      </x:c>
      <x:c r="B175" s="37" t="str">
        <x:v>WP-054</x:v>
      </x:c>
      <x:c r="C175" s="37" t="str">
        <x:v>API-TASK-007</x:v>
      </x:c>
      <x:c r="D175" s="37" t="str">
        <x:v>Comment登録</x:v>
      </x:c>
      <x:c r="E175" s="37" t="str">
        <x:v>API</x:v>
      </x:c>
      <x:c r="F175" s="37" t="str">
        <x:v>Spring Boot</x:v>
      </x:c>
      <x:c r="G175" s="37" t="str">
        <x:v>Coding</x:v>
      </x:c>
      <x:c r="H175" s="37" t="str">
        <x:v>PG-04</x:v>
      </x:c>
      <x:c r="I175" s="37" t="str">
        <x:v>Project Leader</x:v>
      </x:c>
      <x:c r="J175" s="37" t="str">
        <x:v>WP-054-DD</x:v>
      </x:c>
      <x:c r="K175" s="37" t="n">
        <x:v>21</x:v>
      </x:c>
      <x:c r="L175" s="37" t="n">
        <x:v>2</x:v>
      </x:c>
      <x:c r="M175" s="37" t="n">
        <x:v>3</x:v>
      </x:c>
      <x:c r="N175" s="38" t="n">
        <x:v>46344</x:v>
      </x:c>
      <x:c r="O175" s="38" t="n">
        <x:v>46346</x:v>
      </x:c>
      <x:c r="P175" s="38"/>
      <x:c r="Q175" s="38"/>
      <x:c r="R175" s="37" t="str">
        <x:v>未着手</x:v>
      </x:c>
      <x:c r="S175" s="40" t="n">
        <x:f>IF(R175="完了",1,IF(R175="修正中",0.8,IF(R175="Review待ち",0.7,IF(R175="作業中",0.3,0))))</x:f>
        <x:v>0</x:v>
      </x:c>
      <x:c r="T175" s="37" t="str">
        <x:f>IF(AND(R175&lt;&gt;"完了",TODAY()&gt;O175),"遅延","")</x:f>
      </x:c>
      <x:c r="U175" s="37" t="str">
        <x:v>API-TASK-007 Source Code</x:v>
      </x:c>
      <x:c r="V175" s="37" t="str"/>
    </x:row>
    <x:row r="176">
      <x:c r="A176" s="37" t="str">
        <x:v>WP-055-CD</x:v>
      </x:c>
      <x:c r="B176" s="37" t="str">
        <x:v>WP-055</x:v>
      </x:c>
      <x:c r="C176" s="37" t="str">
        <x:v>API-TASK-008</x:v>
      </x:c>
      <x:c r="D176" s="37" t="str">
        <x:v>履歴検索</x:v>
      </x:c>
      <x:c r="E176" s="37" t="str">
        <x:v>API</x:v>
      </x:c>
      <x:c r="F176" s="37" t="str">
        <x:v>Spring Boot</x:v>
      </x:c>
      <x:c r="G176" s="37" t="str">
        <x:v>Coding</x:v>
      </x:c>
      <x:c r="H176" s="37" t="str">
        <x:v>PG-04</x:v>
      </x:c>
      <x:c r="I176" s="37" t="str">
        <x:v>Project Leader</x:v>
      </x:c>
      <x:c r="J176" s="37" t="str">
        <x:v>WP-055-DD</x:v>
      </x:c>
      <x:c r="K176" s="37" t="n">
        <x:v>14</x:v>
      </x:c>
      <x:c r="L176" s="37" t="n">
        <x:v>2</x:v>
      </x:c>
      <x:c r="M176" s="37" t="n">
        <x:v>2</x:v>
      </x:c>
      <x:c r="N176" s="38" t="n">
        <x:v>46350</x:v>
      </x:c>
      <x:c r="O176" s="38" t="n">
        <x:v>46351</x:v>
      </x:c>
      <x:c r="P176" s="38"/>
      <x:c r="Q176" s="38"/>
      <x:c r="R176" s="37" t="str">
        <x:v>未着手</x:v>
      </x:c>
      <x:c r="S176" s="40" t="n">
        <x:f>IF(R176="完了",1,IF(R176="修正中",0.8,IF(R176="Review待ち",0.7,IF(R176="作業中",0.3,0))))</x:f>
        <x:v>0</x:v>
      </x:c>
      <x:c r="T176" s="37" t="str">
        <x:f>IF(AND(R176&lt;&gt;"完了",TODAY()&gt;O176),"遅延","")</x:f>
      </x:c>
      <x:c r="U176" s="37" t="str">
        <x:v>API-TASK-008 Source Code</x:v>
      </x:c>
      <x:c r="V176" s="37" t="str"/>
    </x:row>
    <x:row r="177">
      <x:c r="A177" s="37" t="str">
        <x:v>WP-056-CD</x:v>
      </x:c>
      <x:c r="B177" s="37" t="str">
        <x:v>WP-056</x:v>
      </x:c>
      <x:c r="C177" s="37" t="str">
        <x:v>API-TASK-009</x:v>
      </x:c>
      <x:c r="D177" s="37" t="str">
        <x:v>添付登録</x:v>
      </x:c>
      <x:c r="E177" s="37" t="str">
        <x:v>API</x:v>
      </x:c>
      <x:c r="F177" s="37" t="str">
        <x:v>Spring Boot</x:v>
      </x:c>
      <x:c r="G177" s="37" t="str">
        <x:v>Coding</x:v>
      </x:c>
      <x:c r="H177" s="37" t="str">
        <x:v>PG-04</x:v>
      </x:c>
      <x:c r="I177" s="37" t="str">
        <x:v>Project Leader</x:v>
      </x:c>
      <x:c r="J177" s="37" t="str">
        <x:v>WP-056-DD</x:v>
      </x:c>
      <x:c r="K177" s="37" t="n">
        <x:v>28</x:v>
      </x:c>
      <x:c r="L177" s="37" t="n">
        <x:v>2</x:v>
      </x:c>
      <x:c r="M177" s="37" t="n">
        <x:v>4</x:v>
      </x:c>
      <x:c r="N177" s="38" t="n">
        <x:v>46352</x:v>
      </x:c>
      <x:c r="O177" s="38" t="n">
        <x:v>46357</x:v>
      </x:c>
      <x:c r="P177" s="38"/>
      <x:c r="Q177" s="38"/>
      <x:c r="R177" s="37" t="str">
        <x:v>未着手</x:v>
      </x:c>
      <x:c r="S177" s="40" t="n">
        <x:f>IF(R177="完了",1,IF(R177="修正中",0.8,IF(R177="Review待ち",0.7,IF(R177="作業中",0.3,0))))</x:f>
        <x:v>0</x:v>
      </x:c>
      <x:c r="T177" s="37" t="str">
        <x:f>IF(AND(R177&lt;&gt;"完了",TODAY()&gt;O177),"遅延","")</x:f>
      </x:c>
      <x:c r="U177" s="37" t="str">
        <x:v>API-TASK-009 Source Code</x:v>
      </x:c>
      <x:c r="V177" s="37" t="str"/>
    </x:row>
    <x:row r="178">
      <x:c r="A178" s="37" t="str">
        <x:v>WP-057-CD</x:v>
      </x:c>
      <x:c r="B178" s="37" t="str">
        <x:v>WP-057</x:v>
      </x:c>
      <x:c r="C178" s="37" t="str">
        <x:v>API-TASK-010</x:v>
      </x:c>
      <x:c r="D178" s="37" t="str">
        <x:v>添付取得</x:v>
      </x:c>
      <x:c r="E178" s="37" t="str">
        <x:v>API</x:v>
      </x:c>
      <x:c r="F178" s="37" t="str">
        <x:v>Spring Boot</x:v>
      </x:c>
      <x:c r="G178" s="37" t="str">
        <x:v>Coding</x:v>
      </x:c>
      <x:c r="H178" s="37" t="str">
        <x:v>PG-04</x:v>
      </x:c>
      <x:c r="I178" s="37" t="str">
        <x:v>Project Leader</x:v>
      </x:c>
      <x:c r="J178" s="37" t="str">
        <x:v>WP-057-DD</x:v>
      </x:c>
      <x:c r="K178" s="37" t="n">
        <x:v>28</x:v>
      </x:c>
      <x:c r="L178" s="37" t="n">
        <x:v>2</x:v>
      </x:c>
      <x:c r="M178" s="37" t="n">
        <x:v>4</x:v>
      </x:c>
      <x:c r="N178" s="38" t="n">
        <x:v>46358</x:v>
      </x:c>
      <x:c r="O178" s="38" t="n">
        <x:v>46363</x:v>
      </x:c>
      <x:c r="P178" s="38"/>
      <x:c r="Q178" s="38"/>
      <x:c r="R178" s="37" t="str">
        <x:v>未着手</x:v>
      </x:c>
      <x:c r="S178" s="40" t="n">
        <x:f>IF(R178="完了",1,IF(R178="修正中",0.8,IF(R178="Review待ち",0.7,IF(R178="作業中",0.3,0))))</x:f>
        <x:v>0</x:v>
      </x:c>
      <x:c r="T178" s="37" t="str">
        <x:f>IF(AND(R178&lt;&gt;"完了",TODAY()&gt;O178),"遅延","")</x:f>
      </x:c>
      <x:c r="U178" s="37" t="str">
        <x:v>API-TASK-010 Source Code</x:v>
      </x:c>
      <x:c r="V178" s="37" t="str"/>
    </x:row>
    <x:row r="179">
      <x:c r="A179" s="37" t="str">
        <x:v>WP-058-CD</x:v>
      </x:c>
      <x:c r="B179" s="37" t="str">
        <x:v>WP-058</x:v>
      </x:c>
      <x:c r="C179" s="37" t="str">
        <x:v>API-TASK-011</x:v>
      </x:c>
      <x:c r="D179" s="37" t="str">
        <x:v>添付削除</x:v>
      </x:c>
      <x:c r="E179" s="37" t="str">
        <x:v>API</x:v>
      </x:c>
      <x:c r="F179" s="37" t="str">
        <x:v>Spring Boot</x:v>
      </x:c>
      <x:c r="G179" s="37" t="str">
        <x:v>Coding</x:v>
      </x:c>
      <x:c r="H179" s="37" t="str">
        <x:v>PG-04</x:v>
      </x:c>
      <x:c r="I179" s="37" t="str">
        <x:v>Project Leader</x:v>
      </x:c>
      <x:c r="J179" s="37" t="str">
        <x:v>WP-058-DD</x:v>
      </x:c>
      <x:c r="K179" s="37" t="n">
        <x:v>28</x:v>
      </x:c>
      <x:c r="L179" s="37" t="n">
        <x:v>2</x:v>
      </x:c>
      <x:c r="M179" s="37" t="n">
        <x:v>4</x:v>
      </x:c>
      <x:c r="N179" s="38" t="n">
        <x:v>46364</x:v>
      </x:c>
      <x:c r="O179" s="38" t="n">
        <x:v>46367</x:v>
      </x:c>
      <x:c r="P179" s="38"/>
      <x:c r="Q179" s="38"/>
      <x:c r="R179" s="37" t="str">
        <x:v>未着手</x:v>
      </x:c>
      <x:c r="S179" s="40" t="n">
        <x:f>IF(R179="完了",1,IF(R179="修正中",0.8,IF(R179="Review待ち",0.7,IF(R179="作業中",0.3,0))))</x:f>
        <x:v>0</x:v>
      </x:c>
      <x:c r="T179" s="37" t="str">
        <x:f>IF(AND(R179&lt;&gt;"完了",TODAY()&gt;O179),"遅延","")</x:f>
      </x:c>
      <x:c r="U179" s="37" t="str">
        <x:v>API-TASK-011 Source Code</x:v>
      </x:c>
      <x:c r="V179" s="37" t="str"/>
    </x:row>
    <x:row r="180">
      <x:c r="A180" s="37" t="str">
        <x:v>WP-081-CD</x:v>
      </x:c>
      <x:c r="B180" s="37" t="str">
        <x:v>WP-081</x:v>
      </x:c>
      <x:c r="C180" s="37" t="str">
        <x:v>SCR-013-REACT</x:v>
      </x:c>
      <x:c r="D180" s="37" t="str">
        <x:v>タスク一覧画面（React）</x:v>
      </x:c>
      <x:c r="E180" s="37" t="str">
        <x:v>画面</x:v>
      </x:c>
      <x:c r="F180" s="37" t="str">
        <x:v>React</x:v>
      </x:c>
      <x:c r="G180" s="37" t="str">
        <x:v>Coding</x:v>
      </x:c>
      <x:c r="H180" s="37" t="str">
        <x:v>PG-04</x:v>
      </x:c>
      <x:c r="I180" s="37" t="str">
        <x:v>Project Leader</x:v>
      </x:c>
      <x:c r="J180" s="37" t="str">
        <x:v>WP-081-DD</x:v>
      </x:c>
      <x:c r="K180" s="37" t="n">
        <x:v>14</x:v>
      </x:c>
      <x:c r="L180" s="37" t="n">
        <x:v>2</x:v>
      </x:c>
      <x:c r="M180" s="37" t="n">
        <x:v>2</x:v>
      </x:c>
      <x:c r="N180" s="38" t="n">
        <x:v>46370</x:v>
      </x:c>
      <x:c r="O180" s="38" t="n">
        <x:v>46371</x:v>
      </x:c>
      <x:c r="P180" s="38"/>
      <x:c r="Q180" s="38"/>
      <x:c r="R180" s="37" t="str">
        <x:v>未着手</x:v>
      </x:c>
      <x:c r="S180" s="40" t="n">
        <x:f>IF(R180="完了",1,IF(R180="修正中",0.8,IF(R180="Review待ち",0.7,IF(R180="作業中",0.3,0))))</x:f>
        <x:v>0</x:v>
      </x:c>
      <x:c r="T180" s="37" t="str">
        <x:f>IF(AND(R180&lt;&gt;"完了",TODAY()&gt;O180),"遅延","")</x:f>
      </x:c>
      <x:c r="U180" s="37" t="str">
        <x:v>SCR-013-REACT Source Code</x:v>
      </x:c>
      <x:c r="V180" s="37" t="str"/>
    </x:row>
    <x:row r="181">
      <x:c r="A181" s="37" t="str">
        <x:v>WP-082-CD</x:v>
      </x:c>
      <x:c r="B181" s="37" t="str">
        <x:v>WP-082</x:v>
      </x:c>
      <x:c r="C181" s="37" t="str">
        <x:v>SCR-014-REACT</x:v>
      </x:c>
      <x:c r="D181" s="37" t="str">
        <x:v>マイタスク画面（React）</x:v>
      </x:c>
      <x:c r="E181" s="37" t="str">
        <x:v>画面</x:v>
      </x:c>
      <x:c r="F181" s="37" t="str">
        <x:v>React</x:v>
      </x:c>
      <x:c r="G181" s="37" t="str">
        <x:v>Coding</x:v>
      </x:c>
      <x:c r="H181" s="37" t="str">
        <x:v>PG-04</x:v>
      </x:c>
      <x:c r="I181" s="37" t="str">
        <x:v>Project Leader</x:v>
      </x:c>
      <x:c r="J181" s="37" t="str">
        <x:v>WP-082-DD</x:v>
      </x:c>
      <x:c r="K181" s="37" t="n">
        <x:v>14</x:v>
      </x:c>
      <x:c r="L181" s="37" t="n">
        <x:v>2</x:v>
      </x:c>
      <x:c r="M181" s="37" t="n">
        <x:v>2</x:v>
      </x:c>
      <x:c r="N181" s="38" t="n">
        <x:v>46372</x:v>
      </x:c>
      <x:c r="O181" s="38" t="n">
        <x:v>46373</x:v>
      </x:c>
      <x:c r="P181" s="38"/>
      <x:c r="Q181" s="38"/>
      <x:c r="R181" s="37" t="str">
        <x:v>未着手</x:v>
      </x:c>
      <x:c r="S181" s="40" t="n">
        <x:f>IF(R181="完了",1,IF(R181="修正中",0.8,IF(R181="Review待ち",0.7,IF(R181="作業中",0.3,0))))</x:f>
        <x:v>0</x:v>
      </x:c>
      <x:c r="T181" s="37" t="str">
        <x:f>IF(AND(R181&lt;&gt;"完了",TODAY()&gt;O181),"遅延","")</x:f>
      </x:c>
      <x:c r="U181" s="37" t="str">
        <x:v>SCR-014-REACT Source Code</x:v>
      </x:c>
      <x:c r="V181" s="37" t="str"/>
    </x:row>
    <x:row r="182">
      <x:c r="A182" s="37" t="str">
        <x:v>WP-083-CD</x:v>
      </x:c>
      <x:c r="B182" s="37" t="str">
        <x:v>WP-083</x:v>
      </x:c>
      <x:c r="C182" s="37" t="str">
        <x:v>SCR-015-REACT</x:v>
      </x:c>
      <x:c r="D182" s="37" t="str">
        <x:v>タスク登録画面（React）</x:v>
      </x:c>
      <x:c r="E182" s="37" t="str">
        <x:v>画面</x:v>
      </x:c>
      <x:c r="F182" s="37" t="str">
        <x:v>React</x:v>
      </x:c>
      <x:c r="G182" s="37" t="str">
        <x:v>Coding</x:v>
      </x:c>
      <x:c r="H182" s="37" t="str">
        <x:v>PG-04</x:v>
      </x:c>
      <x:c r="I182" s="37" t="str">
        <x:v>Project Leader</x:v>
      </x:c>
      <x:c r="J182" s="37" t="str">
        <x:v>WP-083-DD</x:v>
      </x:c>
      <x:c r="K182" s="37" t="n">
        <x:v>21</x:v>
      </x:c>
      <x:c r="L182" s="37" t="n">
        <x:v>2</x:v>
      </x:c>
      <x:c r="M182" s="37" t="n">
        <x:v>3</x:v>
      </x:c>
      <x:c r="N182" s="38" t="n">
        <x:v>46374</x:v>
      </x:c>
      <x:c r="O182" s="38" t="n">
        <x:v>46378</x:v>
      </x:c>
      <x:c r="P182" s="38"/>
      <x:c r="Q182" s="38"/>
      <x:c r="R182" s="37" t="str">
        <x:v>未着手</x:v>
      </x:c>
      <x:c r="S182" s="40" t="n">
        <x:f>IF(R182="完了",1,IF(R182="修正中",0.8,IF(R182="Review待ち",0.7,IF(R182="作業中",0.3,0))))</x:f>
        <x:v>0</x:v>
      </x:c>
      <x:c r="T182" s="37" t="str">
        <x:f>IF(AND(R182&lt;&gt;"完了",TODAY()&gt;O182),"遅延","")</x:f>
      </x:c>
      <x:c r="U182" s="37" t="str">
        <x:v>SCR-015-REACT Source Code</x:v>
      </x:c>
      <x:c r="V182" s="37" t="str"/>
    </x:row>
    <x:row r="183">
      <x:c r="A183" s="37" t="str">
        <x:v>WP-084-CD</x:v>
      </x:c>
      <x:c r="B183" s="37" t="str">
        <x:v>WP-084</x:v>
      </x:c>
      <x:c r="C183" s="37" t="str">
        <x:v>SCR-016-REACT</x:v>
      </x:c>
      <x:c r="D183" s="37" t="str">
        <x:v>タスク編集画面（React）</x:v>
      </x:c>
      <x:c r="E183" s="37" t="str">
        <x:v>画面</x:v>
      </x:c>
      <x:c r="F183" s="37" t="str">
        <x:v>React</x:v>
      </x:c>
      <x:c r="G183" s="37" t="str">
        <x:v>Coding</x:v>
      </x:c>
      <x:c r="H183" s="37" t="str">
        <x:v>PG-04</x:v>
      </x:c>
      <x:c r="I183" s="37" t="str">
        <x:v>Project Leader</x:v>
      </x:c>
      <x:c r="J183" s="37" t="str">
        <x:v>WP-084-DD</x:v>
      </x:c>
      <x:c r="K183" s="37" t="n">
        <x:v>21</x:v>
      </x:c>
      <x:c r="L183" s="37" t="n">
        <x:v>2</x:v>
      </x:c>
      <x:c r="M183" s="37" t="n">
        <x:v>3</x:v>
      </x:c>
      <x:c r="N183" s="38" t="n">
        <x:v>46379</x:v>
      </x:c>
      <x:c r="O183" s="38" t="n">
        <x:v>46381</x:v>
      </x:c>
      <x:c r="P183" s="38"/>
      <x:c r="Q183" s="38"/>
      <x:c r="R183" s="37" t="str">
        <x:v>未着手</x:v>
      </x:c>
      <x:c r="S183" s="40" t="n">
        <x:f>IF(R183="完了",1,IF(R183="修正中",0.8,IF(R183="Review待ち",0.7,IF(R183="作業中",0.3,0))))</x:f>
        <x:v>0</x:v>
      </x:c>
      <x:c r="T183" s="37" t="str">
        <x:f>IF(AND(R183&lt;&gt;"完了",TODAY()&gt;O183),"遅延","")</x:f>
      </x:c>
      <x:c r="U183" s="37" t="str">
        <x:v>SCR-016-REACT Source Code</x:v>
      </x:c>
      <x:c r="V183" s="37" t="str"/>
    </x:row>
    <x:row r="184">
      <x:c r="A184" s="37" t="str">
        <x:v>WP-085-CD</x:v>
      </x:c>
      <x:c r="B184" s="37" t="str">
        <x:v>WP-085</x:v>
      </x:c>
      <x:c r="C184" s="37" t="str">
        <x:v>SCR-017-REACT</x:v>
      </x:c>
      <x:c r="D184" s="37" t="str">
        <x:v>タスク詳細画面（React）</x:v>
      </x:c>
      <x:c r="E184" s="37" t="str">
        <x:v>画面</x:v>
      </x:c>
      <x:c r="F184" s="37" t="str">
        <x:v>React</x:v>
      </x:c>
      <x:c r="G184" s="37" t="str">
        <x:v>Coding</x:v>
      </x:c>
      <x:c r="H184" s="37" t="str">
        <x:v>PG-04</x:v>
      </x:c>
      <x:c r="I184" s="37" t="str">
        <x:v>Project Leader</x:v>
      </x:c>
      <x:c r="J184" s="37" t="str">
        <x:v>WP-085-DD</x:v>
      </x:c>
      <x:c r="K184" s="37" t="n">
        <x:v>28</x:v>
      </x:c>
      <x:c r="L184" s="37" t="n">
        <x:v>2</x:v>
      </x:c>
      <x:c r="M184" s="37" t="n">
        <x:v>4</x:v>
      </x:c>
      <x:c r="N184" s="38" t="n">
        <x:v>46384</x:v>
      </x:c>
      <x:c r="O184" s="38" t="n">
        <x:v>46387</x:v>
      </x:c>
      <x:c r="P184" s="38"/>
      <x:c r="Q184" s="38"/>
      <x:c r="R184" s="37" t="str">
        <x:v>未着手</x:v>
      </x:c>
      <x:c r="S184" s="40" t="n">
        <x:f>IF(R184="完了",1,IF(R184="修正中",0.8,IF(R184="Review待ち",0.7,IF(R184="作業中",0.3,0))))</x:f>
        <x:v>0</x:v>
      </x:c>
      <x:c r="T184" s="37" t="str">
        <x:f>IF(AND(R184&lt;&gt;"完了",TODAY()&gt;O184),"遅延","")</x:f>
      </x:c>
      <x:c r="U184" s="37" t="str">
        <x:v>SCR-017-REACT Source Code</x:v>
      </x:c>
      <x:c r="V184" s="37" t="str"/>
    </x:row>
    <x:row r="185">
      <x:c r="A185" s="37" t="str">
        <x:v>WP-086-CD</x:v>
      </x:c>
      <x:c r="B185" s="37" t="str">
        <x:v>WP-086</x:v>
      </x:c>
      <x:c r="C185" s="37" t="str">
        <x:v>SCR-018-REACT</x:v>
      </x:c>
      <x:c r="D185" s="37" t="str">
        <x:v>タスクボード画面（React）</x:v>
      </x:c>
      <x:c r="E185" s="37" t="str">
        <x:v>画面</x:v>
      </x:c>
      <x:c r="F185" s="37" t="str">
        <x:v>React</x:v>
      </x:c>
      <x:c r="G185" s="37" t="str">
        <x:v>Coding</x:v>
      </x:c>
      <x:c r="H185" s="37" t="str">
        <x:v>PG-04</x:v>
      </x:c>
      <x:c r="I185" s="37" t="str">
        <x:v>Project Leader</x:v>
      </x:c>
      <x:c r="J185" s="37" t="str">
        <x:v>WP-086-DD</x:v>
      </x:c>
      <x:c r="K185" s="37" t="n">
        <x:v>28</x:v>
      </x:c>
      <x:c r="L185" s="37" t="n">
        <x:v>2</x:v>
      </x:c>
      <x:c r="M185" s="37" t="n">
        <x:v>4</x:v>
      </x:c>
      <x:c r="N185" s="38" t="n">
        <x:v>46391</x:v>
      </x:c>
      <x:c r="O185" s="38" t="n">
        <x:v>46394</x:v>
      </x:c>
      <x:c r="P185" s="38"/>
      <x:c r="Q185" s="38"/>
      <x:c r="R185" s="37" t="str">
        <x:v>未着手</x:v>
      </x:c>
      <x:c r="S185" s="40" t="n">
        <x:f>IF(R185="完了",1,IF(R185="修正中",0.8,IF(R185="Review待ち",0.7,IF(R185="作業中",0.3,0))))</x:f>
        <x:v>0</x:v>
      </x:c>
      <x:c r="T185" s="37" t="str">
        <x:f>IF(AND(R185&lt;&gt;"完了",TODAY()&gt;O185),"遅延","")</x:f>
      </x:c>
      <x:c r="U185" s="37" t="str">
        <x:v>SCR-018-REACT Source Code</x:v>
      </x:c>
      <x:c r="V185" s="37" t="str"/>
    </x:row>
    <x:row r="186">
      <x:c r="A186" s="37" t="str">
        <x:v>WP-006-CD</x:v>
      </x:c>
      <x:c r="B186" s="37" t="str">
        <x:v>WP-006</x:v>
      </x:c>
      <x:c r="C186" s="37" t="str">
        <x:v>COM-REDIS-001</x:v>
      </x:c>
      <x:c r="D186" s="37" t="str">
        <x:v>Redis共通処理</x:v>
      </x:c>
      <x:c r="E186" s="37" t="str">
        <x:v>共通</x:v>
      </x:c>
      <x:c r="F186" s="37" t="str">
        <x:v>Backend/共通</x:v>
      </x:c>
      <x:c r="G186" s="37" t="str">
        <x:v>Coding</x:v>
      </x:c>
      <x:c r="H186" s="37" t="str">
        <x:v>PG-05</x:v>
      </x:c>
      <x:c r="I186" s="37" t="str">
        <x:v>Project Leader</x:v>
      </x:c>
      <x:c r="J186" s="37" t="str">
        <x:v>WP-006-DD</x:v>
      </x:c>
      <x:c r="K186" s="37" t="n">
        <x:v>21</x:v>
      </x:c>
      <x:c r="L186" s="37" t="n">
        <x:v>2</x:v>
      </x:c>
      <x:c r="M186" s="37" t="n">
        <x:v>3</x:v>
      </x:c>
      <x:c r="N186" s="38" t="n">
        <x:v>46315</x:v>
      </x:c>
      <x:c r="O186" s="38" t="n">
        <x:v>46317</x:v>
      </x:c>
      <x:c r="P186" s="38"/>
      <x:c r="Q186" s="38"/>
      <x:c r="R186" s="37" t="str">
        <x:v>未着手</x:v>
      </x:c>
      <x:c r="S186" s="40" t="n">
        <x:f>IF(R186="完了",1,IF(R186="修正中",0.8,IF(R186="Review待ち",0.7,IF(R186="作業中",0.3,0))))</x:f>
        <x:v>0</x:v>
      </x:c>
      <x:c r="T186" s="37" t="str">
        <x:f>IF(AND(R186&lt;&gt;"完了",TODAY()&gt;O186),"遅延","")</x:f>
      </x:c>
      <x:c r="U186" s="37" t="str">
        <x:v>COM-REDIS-001 Source Code</x:v>
      </x:c>
      <x:c r="V186" s="37" t="str"/>
    </x:row>
    <x:row r="187">
      <x:c r="A187" s="37" t="str">
        <x:v>WP-059-CD</x:v>
      </x:c>
      <x:c r="B187" s="37" t="str">
        <x:v>WP-059</x:v>
      </x:c>
      <x:c r="C187" s="37" t="str">
        <x:v>API-RPT-001</x:v>
      </x:c>
      <x:c r="D187" s="37" t="str">
        <x:v>日報検索</x:v>
      </x:c>
      <x:c r="E187" s="37" t="str">
        <x:v>API</x:v>
      </x:c>
      <x:c r="F187" s="37" t="str">
        <x:v>Spring Boot</x:v>
      </x:c>
      <x:c r="G187" s="37" t="str">
        <x:v>Coding</x:v>
      </x:c>
      <x:c r="H187" s="37" t="str">
        <x:v>PG-05</x:v>
      </x:c>
      <x:c r="I187" s="37" t="str">
        <x:v>Project Leader</x:v>
      </x:c>
      <x:c r="J187" s="37" t="str">
        <x:v>WP-059-DD</x:v>
      </x:c>
      <x:c r="K187" s="37" t="n">
        <x:v>14</x:v>
      </x:c>
      <x:c r="L187" s="37" t="n">
        <x:v>2</x:v>
      </x:c>
      <x:c r="M187" s="37" t="n">
        <x:v>2</x:v>
      </x:c>
      <x:c r="N187" s="38" t="n">
        <x:v>46318</x:v>
      </x:c>
      <x:c r="O187" s="38" t="n">
        <x:v>46321</x:v>
      </x:c>
      <x:c r="P187" s="38"/>
      <x:c r="Q187" s="38"/>
      <x:c r="R187" s="37" t="str">
        <x:v>未着手</x:v>
      </x:c>
      <x:c r="S187" s="40" t="n">
        <x:f>IF(R187="完了",1,IF(R187="修正中",0.8,IF(R187="Review待ち",0.7,IF(R187="作業中",0.3,0))))</x:f>
        <x:v>0</x:v>
      </x:c>
      <x:c r="T187" s="37" t="str">
        <x:f>IF(AND(R187&lt;&gt;"完了",TODAY()&gt;O187),"遅延","")</x:f>
      </x:c>
      <x:c r="U187" s="37" t="str">
        <x:v>API-RPT-001 Source Code</x:v>
      </x:c>
      <x:c r="V187" s="37" t="str"/>
    </x:row>
    <x:row r="188">
      <x:c r="A188" s="37" t="str">
        <x:v>WP-060-CD</x:v>
      </x:c>
      <x:c r="B188" s="37" t="str">
        <x:v>WP-060</x:v>
      </x:c>
      <x:c r="C188" s="37" t="str">
        <x:v>API-RPT-002</x:v>
      </x:c>
      <x:c r="D188" s="37" t="str">
        <x:v>日報詳細</x:v>
      </x:c>
      <x:c r="E188" s="37" t="str">
        <x:v>API</x:v>
      </x:c>
      <x:c r="F188" s="37" t="str">
        <x:v>Spring Boot</x:v>
      </x:c>
      <x:c r="G188" s="37" t="str">
        <x:v>Coding</x:v>
      </x:c>
      <x:c r="H188" s="37" t="str">
        <x:v>PG-05</x:v>
      </x:c>
      <x:c r="I188" s="37" t="str">
        <x:v>Project Leader</x:v>
      </x:c>
      <x:c r="J188" s="37" t="str">
        <x:v>WP-060-DD</x:v>
      </x:c>
      <x:c r="K188" s="37" t="n">
        <x:v>14</x:v>
      </x:c>
      <x:c r="L188" s="37" t="n">
        <x:v>2</x:v>
      </x:c>
      <x:c r="M188" s="37" t="n">
        <x:v>2</x:v>
      </x:c>
      <x:c r="N188" s="38" t="n">
        <x:v>46322</x:v>
      </x:c>
      <x:c r="O188" s="38" t="n">
        <x:v>46323</x:v>
      </x:c>
      <x:c r="P188" s="38"/>
      <x:c r="Q188" s="38"/>
      <x:c r="R188" s="37" t="str">
        <x:v>未着手</x:v>
      </x:c>
      <x:c r="S188" s="40" t="n">
        <x:f>IF(R188="完了",1,IF(R188="修正中",0.8,IF(R188="Review待ち",0.7,IF(R188="作業中",0.3,0))))</x:f>
        <x:v>0</x:v>
      </x:c>
      <x:c r="T188" s="37" t="str">
        <x:f>IF(AND(R188&lt;&gt;"完了",TODAY()&gt;O188),"遅延","")</x:f>
      </x:c>
      <x:c r="U188" s="37" t="str">
        <x:v>API-RPT-002 Source Code</x:v>
      </x:c>
      <x:c r="V188" s="37" t="str"/>
    </x:row>
    <x:row r="189">
      <x:c r="A189" s="37" t="str">
        <x:v>WP-061-CD</x:v>
      </x:c>
      <x:c r="B189" s="37" t="str">
        <x:v>WP-061</x:v>
      </x:c>
      <x:c r="C189" s="37" t="str">
        <x:v>API-RPT-003</x:v>
      </x:c>
      <x:c r="D189" s="37" t="str">
        <x:v>日報登録</x:v>
      </x:c>
      <x:c r="E189" s="37" t="str">
        <x:v>API</x:v>
      </x:c>
      <x:c r="F189" s="37" t="str">
        <x:v>Spring Boot</x:v>
      </x:c>
      <x:c r="G189" s="37" t="str">
        <x:v>Coding</x:v>
      </x:c>
      <x:c r="H189" s="37" t="str">
        <x:v>PG-05</x:v>
      </x:c>
      <x:c r="I189" s="37" t="str">
        <x:v>Project Leader</x:v>
      </x:c>
      <x:c r="J189" s="37" t="str">
        <x:v>WP-061-DD</x:v>
      </x:c>
      <x:c r="K189" s="37" t="n">
        <x:v>21</x:v>
      </x:c>
      <x:c r="L189" s="37" t="n">
        <x:v>2</x:v>
      </x:c>
      <x:c r="M189" s="37" t="n">
        <x:v>3</x:v>
      </x:c>
      <x:c r="N189" s="38" t="n">
        <x:v>46324</x:v>
      </x:c>
      <x:c r="O189" s="38" t="n">
        <x:v>46328</x:v>
      </x:c>
      <x:c r="P189" s="38"/>
      <x:c r="Q189" s="38"/>
      <x:c r="R189" s="37" t="str">
        <x:v>未着手</x:v>
      </x:c>
      <x:c r="S189" s="40" t="n">
        <x:f>IF(R189="完了",1,IF(R189="修正中",0.8,IF(R189="Review待ち",0.7,IF(R189="作業中",0.3,0))))</x:f>
        <x:v>0</x:v>
      </x:c>
      <x:c r="T189" s="37" t="str">
        <x:f>IF(AND(R189&lt;&gt;"完了",TODAY()&gt;O189),"遅延","")</x:f>
      </x:c>
      <x:c r="U189" s="37" t="str">
        <x:v>API-RPT-003 Source Code</x:v>
      </x:c>
      <x:c r="V189" s="37" t="str"/>
    </x:row>
    <x:row r="190">
      <x:c r="A190" s="37" t="str">
        <x:v>WP-062-CD</x:v>
      </x:c>
      <x:c r="B190" s="37" t="str">
        <x:v>WP-062</x:v>
      </x:c>
      <x:c r="C190" s="37" t="str">
        <x:v>API-RPT-004</x:v>
      </x:c>
      <x:c r="D190" s="37" t="str">
        <x:v>日報更新</x:v>
      </x:c>
      <x:c r="E190" s="37" t="str">
        <x:v>API</x:v>
      </x:c>
      <x:c r="F190" s="37" t="str">
        <x:v>Spring Boot</x:v>
      </x:c>
      <x:c r="G190" s="37" t="str">
        <x:v>Coding</x:v>
      </x:c>
      <x:c r="H190" s="37" t="str">
        <x:v>PG-05</x:v>
      </x:c>
      <x:c r="I190" s="37" t="str">
        <x:v>Project Leader</x:v>
      </x:c>
      <x:c r="J190" s="37" t="str">
        <x:v>WP-062-DD</x:v>
      </x:c>
      <x:c r="K190" s="37" t="n">
        <x:v>21</x:v>
      </x:c>
      <x:c r="L190" s="37" t="n">
        <x:v>2</x:v>
      </x:c>
      <x:c r="M190" s="37" t="n">
        <x:v>3</x:v>
      </x:c>
      <x:c r="N190" s="38" t="n">
        <x:v>46330</x:v>
      </x:c>
      <x:c r="O190" s="38" t="n">
        <x:v>46332</x:v>
      </x:c>
      <x:c r="P190" s="38"/>
      <x:c r="Q190" s="38"/>
      <x:c r="R190" s="37" t="str">
        <x:v>未着手</x:v>
      </x:c>
      <x:c r="S190" s="40" t="n">
        <x:f>IF(R190="完了",1,IF(R190="修正中",0.8,IF(R190="Review待ち",0.7,IF(R190="作業中",0.3,0))))</x:f>
        <x:v>0</x:v>
      </x:c>
      <x:c r="T190" s="37" t="str">
        <x:f>IF(AND(R190&lt;&gt;"完了",TODAY()&gt;O190),"遅延","")</x:f>
      </x:c>
      <x:c r="U190" s="37" t="str">
        <x:v>API-RPT-004 Source Code</x:v>
      </x:c>
      <x:c r="V190" s="37" t="str"/>
    </x:row>
    <x:row r="191">
      <x:c r="A191" s="37" t="str">
        <x:v>WP-063-CD</x:v>
      </x:c>
      <x:c r="B191" s="37" t="str">
        <x:v>WP-063</x:v>
      </x:c>
      <x:c r="C191" s="37" t="str">
        <x:v>API-RPT-005</x:v>
      </x:c>
      <x:c r="D191" s="37" t="str">
        <x:v>日報削除</x:v>
      </x:c>
      <x:c r="E191" s="37" t="str">
        <x:v>API</x:v>
      </x:c>
      <x:c r="F191" s="37" t="str">
        <x:v>Spring Boot</x:v>
      </x:c>
      <x:c r="G191" s="37" t="str">
        <x:v>Coding</x:v>
      </x:c>
      <x:c r="H191" s="37" t="str">
        <x:v>PG-05</x:v>
      </x:c>
      <x:c r="I191" s="37" t="str">
        <x:v>Project Leader</x:v>
      </x:c>
      <x:c r="J191" s="37" t="str">
        <x:v>WP-063-DD</x:v>
      </x:c>
      <x:c r="K191" s="37" t="n">
        <x:v>21</x:v>
      </x:c>
      <x:c r="L191" s="37" t="n">
        <x:v>2</x:v>
      </x:c>
      <x:c r="M191" s="37" t="n">
        <x:v>3</x:v>
      </x:c>
      <x:c r="N191" s="38" t="n">
        <x:v>46335</x:v>
      </x:c>
      <x:c r="O191" s="38" t="n">
        <x:v>46337</x:v>
      </x:c>
      <x:c r="P191" s="38"/>
      <x:c r="Q191" s="38"/>
      <x:c r="R191" s="37" t="str">
        <x:v>未着手</x:v>
      </x:c>
      <x:c r="S191" s="40" t="n">
        <x:f>IF(R191="完了",1,IF(R191="修正中",0.8,IF(R191="Review待ち",0.7,IF(R191="作業中",0.3,0))))</x:f>
        <x:v>0</x:v>
      </x:c>
      <x:c r="T191" s="37" t="str">
        <x:f>IF(AND(R191&lt;&gt;"完了",TODAY()&gt;O191),"遅延","")</x:f>
      </x:c>
      <x:c r="U191" s="37" t="str">
        <x:v>API-RPT-005 Source Code</x:v>
      </x:c>
      <x:c r="V191" s="37" t="str"/>
    </x:row>
    <x:row r="192">
      <x:c r="A192" s="37" t="str">
        <x:v>WP-064-CD</x:v>
      </x:c>
      <x:c r="B192" s="37" t="str">
        <x:v>WP-064</x:v>
      </x:c>
      <x:c r="C192" s="37" t="str">
        <x:v>API-RPT-006</x:v>
      </x:c>
      <x:c r="D192" s="37" t="str">
        <x:v>未提出者検索</x:v>
      </x:c>
      <x:c r="E192" s="37" t="str">
        <x:v>API</x:v>
      </x:c>
      <x:c r="F192" s="37" t="str">
        <x:v>Spring Boot</x:v>
      </x:c>
      <x:c r="G192" s="37" t="str">
        <x:v>Coding</x:v>
      </x:c>
      <x:c r="H192" s="37" t="str">
        <x:v>PG-05</x:v>
      </x:c>
      <x:c r="I192" s="37" t="str">
        <x:v>Project Leader</x:v>
      </x:c>
      <x:c r="J192" s="37" t="str">
        <x:v>WP-064-DD</x:v>
      </x:c>
      <x:c r="K192" s="37" t="n">
        <x:v>14</x:v>
      </x:c>
      <x:c r="L192" s="37" t="n">
        <x:v>2</x:v>
      </x:c>
      <x:c r="M192" s="37" t="n">
        <x:v>2</x:v>
      </x:c>
      <x:c r="N192" s="38" t="n">
        <x:v>46338</x:v>
      </x:c>
      <x:c r="O192" s="38" t="n">
        <x:v>46339</x:v>
      </x:c>
      <x:c r="P192" s="38"/>
      <x:c r="Q192" s="38"/>
      <x:c r="R192" s="37" t="str">
        <x:v>未着手</x:v>
      </x:c>
      <x:c r="S192" s="40" t="n">
        <x:f>IF(R192="完了",1,IF(R192="修正中",0.8,IF(R192="Review待ち",0.7,IF(R192="作業中",0.3,0))))</x:f>
        <x:v>0</x:v>
      </x:c>
      <x:c r="T192" s="37" t="str">
        <x:f>IF(AND(R192&lt;&gt;"完了",TODAY()&gt;O192),"遅延","")</x:f>
      </x:c>
      <x:c r="U192" s="37" t="str">
        <x:v>API-RPT-006 Source Code</x:v>
      </x:c>
      <x:c r="V192" s="37" t="str"/>
    </x:row>
    <x:row r="193">
      <x:c r="A193" s="37" t="str">
        <x:v>WP-065-CD</x:v>
      </x:c>
      <x:c r="B193" s="37" t="str">
        <x:v>WP-065</x:v>
      </x:c>
      <x:c r="C193" s="37" t="str">
        <x:v>API-NTF-001</x:v>
      </x:c>
      <x:c r="D193" s="37" t="str">
        <x:v>通知一覧</x:v>
      </x:c>
      <x:c r="E193" s="37" t="str">
        <x:v>API</x:v>
      </x:c>
      <x:c r="F193" s="37" t="str">
        <x:v>Spring Boot</x:v>
      </x:c>
      <x:c r="G193" s="37" t="str">
        <x:v>Coding</x:v>
      </x:c>
      <x:c r="H193" s="37" t="str">
        <x:v>PG-05</x:v>
      </x:c>
      <x:c r="I193" s="37" t="str">
        <x:v>Project Leader</x:v>
      </x:c>
      <x:c r="J193" s="37" t="str">
        <x:v>WP-065-DD</x:v>
      </x:c>
      <x:c r="K193" s="37" t="n">
        <x:v>14</x:v>
      </x:c>
      <x:c r="L193" s="37" t="n">
        <x:v>2</x:v>
      </x:c>
      <x:c r="M193" s="37" t="n">
        <x:v>2</x:v>
      </x:c>
      <x:c r="N193" s="38" t="n">
        <x:v>46342</x:v>
      </x:c>
      <x:c r="O193" s="38" t="n">
        <x:v>46343</x:v>
      </x:c>
      <x:c r="P193" s="38"/>
      <x:c r="Q193" s="38"/>
      <x:c r="R193" s="37" t="str">
        <x:v>未着手</x:v>
      </x:c>
      <x:c r="S193" s="40" t="n">
        <x:f>IF(R193="完了",1,IF(R193="修正中",0.8,IF(R193="Review待ち",0.7,IF(R193="作業中",0.3,0))))</x:f>
        <x:v>0</x:v>
      </x:c>
      <x:c r="T193" s="37" t="str">
        <x:f>IF(AND(R193&lt;&gt;"完了",TODAY()&gt;O193),"遅延","")</x:f>
      </x:c>
      <x:c r="U193" s="37" t="str">
        <x:v>API-NTF-001 Source Code</x:v>
      </x:c>
      <x:c r="V193" s="37" t="str"/>
    </x:row>
    <x:row r="194">
      <x:c r="A194" s="37" t="str">
        <x:v>WP-066-CD</x:v>
      </x:c>
      <x:c r="B194" s="37" t="str">
        <x:v>WP-066</x:v>
      </x:c>
      <x:c r="C194" s="37" t="str">
        <x:v>API-NTF-002</x:v>
      </x:c>
      <x:c r="D194" s="37" t="str">
        <x:v>未読件数</x:v>
      </x:c>
      <x:c r="E194" s="37" t="str">
        <x:v>API</x:v>
      </x:c>
      <x:c r="F194" s="37" t="str">
        <x:v>Spring Boot</x:v>
      </x:c>
      <x:c r="G194" s="37" t="str">
        <x:v>Coding</x:v>
      </x:c>
      <x:c r="H194" s="37" t="str">
        <x:v>PG-05</x:v>
      </x:c>
      <x:c r="I194" s="37" t="str">
        <x:v>Project Leader</x:v>
      </x:c>
      <x:c r="J194" s="37" t="str">
        <x:v>WP-066-DD</x:v>
      </x:c>
      <x:c r="K194" s="37" t="n">
        <x:v>14</x:v>
      </x:c>
      <x:c r="L194" s="37" t="n">
        <x:v>2</x:v>
      </x:c>
      <x:c r="M194" s="37" t="n">
        <x:v>2</x:v>
      </x:c>
      <x:c r="N194" s="38" t="n">
        <x:v>46344</x:v>
      </x:c>
      <x:c r="O194" s="38" t="n">
        <x:v>46345</x:v>
      </x:c>
      <x:c r="P194" s="38"/>
      <x:c r="Q194" s="38"/>
      <x:c r="R194" s="37" t="str">
        <x:v>未着手</x:v>
      </x:c>
      <x:c r="S194" s="40" t="n">
        <x:f>IF(R194="完了",1,IF(R194="修正中",0.8,IF(R194="Review待ち",0.7,IF(R194="作業中",0.3,0))))</x:f>
        <x:v>0</x:v>
      </x:c>
      <x:c r="T194" s="37" t="str">
        <x:f>IF(AND(R194&lt;&gt;"完了",TODAY()&gt;O194),"遅延","")</x:f>
      </x:c>
      <x:c r="U194" s="37" t="str">
        <x:v>API-NTF-002 Source Code</x:v>
      </x:c>
      <x:c r="V194" s="37" t="str"/>
    </x:row>
    <x:row r="195">
      <x:c r="A195" s="37" t="str">
        <x:v>WP-067-CD</x:v>
      </x:c>
      <x:c r="B195" s="37" t="str">
        <x:v>WP-067</x:v>
      </x:c>
      <x:c r="C195" s="37" t="str">
        <x:v>API-NTF-003</x:v>
      </x:c>
      <x:c r="D195" s="37" t="str">
        <x:v>既読化</x:v>
      </x:c>
      <x:c r="E195" s="37" t="str">
        <x:v>API</x:v>
      </x:c>
      <x:c r="F195" s="37" t="str">
        <x:v>Spring Boot</x:v>
      </x:c>
      <x:c r="G195" s="37" t="str">
        <x:v>Coding</x:v>
      </x:c>
      <x:c r="H195" s="37" t="str">
        <x:v>PG-05</x:v>
      </x:c>
      <x:c r="I195" s="37" t="str">
        <x:v>Project Leader</x:v>
      </x:c>
      <x:c r="J195" s="37" t="str">
        <x:v>WP-067-DD</x:v>
      </x:c>
      <x:c r="K195" s="37" t="n">
        <x:v>21</x:v>
      </x:c>
      <x:c r="L195" s="37" t="n">
        <x:v>2</x:v>
      </x:c>
      <x:c r="M195" s="37" t="n">
        <x:v>3</x:v>
      </x:c>
      <x:c r="N195" s="38" t="n">
        <x:v>46346</x:v>
      </x:c>
      <x:c r="O195" s="38" t="n">
        <x:v>46351</x:v>
      </x:c>
      <x:c r="P195" s="38"/>
      <x:c r="Q195" s="38"/>
      <x:c r="R195" s="37" t="str">
        <x:v>未着手</x:v>
      </x:c>
      <x:c r="S195" s="40" t="n">
        <x:f>IF(R195="完了",1,IF(R195="修正中",0.8,IF(R195="Review待ち",0.7,IF(R195="作業中",0.3,0))))</x:f>
        <x:v>0</x:v>
      </x:c>
      <x:c r="T195" s="37" t="str">
        <x:f>IF(AND(R195&lt;&gt;"完了",TODAY()&gt;O195),"遅延","")</x:f>
      </x:c>
      <x:c r="U195" s="37" t="str">
        <x:v>API-NTF-003 Source Code</x:v>
      </x:c>
      <x:c r="V195" s="37" t="str"/>
    </x:row>
    <x:row r="196">
      <x:c r="A196" s="37" t="str">
        <x:v>WP-068-CD</x:v>
      </x:c>
      <x:c r="B196" s="37" t="str">
        <x:v>WP-068</x:v>
      </x:c>
      <x:c r="C196" s="37" t="str">
        <x:v>API-NTF-004</x:v>
      </x:c>
      <x:c r="D196" s="37" t="str">
        <x:v>全件既読</x:v>
      </x:c>
      <x:c r="E196" s="37" t="str">
        <x:v>API</x:v>
      </x:c>
      <x:c r="F196" s="37" t="str">
        <x:v>Spring Boot</x:v>
      </x:c>
      <x:c r="G196" s="37" t="str">
        <x:v>Coding</x:v>
      </x:c>
      <x:c r="H196" s="37" t="str">
        <x:v>PG-05</x:v>
      </x:c>
      <x:c r="I196" s="37" t="str">
        <x:v>Project Leader</x:v>
      </x:c>
      <x:c r="J196" s="37" t="str">
        <x:v>WP-068-DD</x:v>
      </x:c>
      <x:c r="K196" s="37" t="n">
        <x:v>21</x:v>
      </x:c>
      <x:c r="L196" s="37" t="n">
        <x:v>2</x:v>
      </x:c>
      <x:c r="M196" s="37" t="n">
        <x:v>3</x:v>
      </x:c>
      <x:c r="N196" s="38" t="n">
        <x:v>46352</x:v>
      </x:c>
      <x:c r="O196" s="38" t="n">
        <x:v>46356</x:v>
      </x:c>
      <x:c r="P196" s="38"/>
      <x:c r="Q196" s="38"/>
      <x:c r="R196" s="37" t="str">
        <x:v>未着手</x:v>
      </x:c>
      <x:c r="S196" s="40" t="n">
        <x:f>IF(R196="完了",1,IF(R196="修正中",0.8,IF(R196="Review待ち",0.7,IF(R196="作業中",0.3,0))))</x:f>
        <x:v>0</x:v>
      </x:c>
      <x:c r="T196" s="37" t="str">
        <x:f>IF(AND(R196&lt;&gt;"完了",TODAY()&gt;O196),"遅延","")</x:f>
      </x:c>
      <x:c r="U196" s="37" t="str">
        <x:v>API-NTF-004 Source Code</x:v>
      </x:c>
      <x:c r="V196" s="37" t="str"/>
    </x:row>
    <x:row r="197">
      <x:c r="A197" s="37" t="str">
        <x:v>WP-087-CD</x:v>
      </x:c>
      <x:c r="B197" s="37" t="str">
        <x:v>WP-087</x:v>
      </x:c>
      <x:c r="C197" s="37" t="str">
        <x:v>SCR-019-VUE</x:v>
      </x:c>
      <x:c r="D197" s="37" t="str">
        <x:v>マイ日報画面（Vue）</x:v>
      </x:c>
      <x:c r="E197" s="37" t="str">
        <x:v>画面</x:v>
      </x:c>
      <x:c r="F197" s="37" t="str">
        <x:v>Vue</x:v>
      </x:c>
      <x:c r="G197" s="37" t="str">
        <x:v>Coding</x:v>
      </x:c>
      <x:c r="H197" s="37" t="str">
        <x:v>PG-05</x:v>
      </x:c>
      <x:c r="I197" s="37" t="str">
        <x:v>Project Leader</x:v>
      </x:c>
      <x:c r="J197" s="37" t="str">
        <x:v>WP-087-DD</x:v>
      </x:c>
      <x:c r="K197" s="37" t="n">
        <x:v>14</x:v>
      </x:c>
      <x:c r="L197" s="37" t="n">
        <x:v>2</x:v>
      </x:c>
      <x:c r="M197" s="37" t="n">
        <x:v>2</x:v>
      </x:c>
      <x:c r="N197" s="38" t="n">
        <x:v>46357</x:v>
      </x:c>
      <x:c r="O197" s="38" t="n">
        <x:v>46358</x:v>
      </x:c>
      <x:c r="P197" s="38"/>
      <x:c r="Q197" s="38"/>
      <x:c r="R197" s="37" t="str">
        <x:v>未着手</x:v>
      </x:c>
      <x:c r="S197" s="40" t="n">
        <x:f>IF(R197="完了",1,IF(R197="修正中",0.8,IF(R197="Review待ち",0.7,IF(R197="作業中",0.3,0))))</x:f>
        <x:v>0</x:v>
      </x:c>
      <x:c r="T197" s="37" t="str">
        <x:f>IF(AND(R197&lt;&gt;"完了",TODAY()&gt;O197),"遅延","")</x:f>
      </x:c>
      <x:c r="U197" s="37" t="str">
        <x:v>SCR-019-VUE Source Code</x:v>
      </x:c>
      <x:c r="V197" s="37" t="str"/>
    </x:row>
    <x:row r="198">
      <x:c r="A198" s="37" t="str">
        <x:v>WP-088-CD</x:v>
      </x:c>
      <x:c r="B198" s="37" t="str">
        <x:v>WP-088</x:v>
      </x:c>
      <x:c r="C198" s="37" t="str">
        <x:v>SCR-020-VUE</x:v>
      </x:c>
      <x:c r="D198" s="37" t="str">
        <x:v>日報登録画面（Vue）</x:v>
      </x:c>
      <x:c r="E198" s="37" t="str">
        <x:v>画面</x:v>
      </x:c>
      <x:c r="F198" s="37" t="str">
        <x:v>Vue</x:v>
      </x:c>
      <x:c r="G198" s="37" t="str">
        <x:v>Coding</x:v>
      </x:c>
      <x:c r="H198" s="37" t="str">
        <x:v>PG-05</x:v>
      </x:c>
      <x:c r="I198" s="37" t="str">
        <x:v>Project Leader</x:v>
      </x:c>
      <x:c r="J198" s="37" t="str">
        <x:v>WP-088-DD</x:v>
      </x:c>
      <x:c r="K198" s="37" t="n">
        <x:v>21</x:v>
      </x:c>
      <x:c r="L198" s="37" t="n">
        <x:v>2</x:v>
      </x:c>
      <x:c r="M198" s="37" t="n">
        <x:v>3</x:v>
      </x:c>
      <x:c r="N198" s="38" t="n">
        <x:v>46359</x:v>
      </x:c>
      <x:c r="O198" s="38" t="n">
        <x:v>46363</x:v>
      </x:c>
      <x:c r="P198" s="38"/>
      <x:c r="Q198" s="38"/>
      <x:c r="R198" s="37" t="str">
        <x:v>未着手</x:v>
      </x:c>
      <x:c r="S198" s="40" t="n">
        <x:f>IF(R198="完了",1,IF(R198="修正中",0.8,IF(R198="Review待ち",0.7,IF(R198="作業中",0.3,0))))</x:f>
        <x:v>0</x:v>
      </x:c>
      <x:c r="T198" s="37" t="str">
        <x:f>IF(AND(R198&lt;&gt;"完了",TODAY()&gt;O198),"遅延","")</x:f>
      </x:c>
      <x:c r="U198" s="37" t="str">
        <x:v>SCR-020-VUE Source Code</x:v>
      </x:c>
      <x:c r="V198" s="37" t="str"/>
    </x:row>
    <x:row r="199">
      <x:c r="A199" s="37" t="str">
        <x:v>WP-089-CD</x:v>
      </x:c>
      <x:c r="B199" s="37" t="str">
        <x:v>WP-089</x:v>
      </x:c>
      <x:c r="C199" s="37" t="str">
        <x:v>SCR-021-VUE</x:v>
      </x:c>
      <x:c r="D199" s="37" t="str">
        <x:v>日報検索画面（Vue）</x:v>
      </x:c>
      <x:c r="E199" s="37" t="str">
        <x:v>画面</x:v>
      </x:c>
      <x:c r="F199" s="37" t="str">
        <x:v>Vue</x:v>
      </x:c>
      <x:c r="G199" s="37" t="str">
        <x:v>Coding</x:v>
      </x:c>
      <x:c r="H199" s="37" t="str">
        <x:v>PG-05</x:v>
      </x:c>
      <x:c r="I199" s="37" t="str">
        <x:v>Project Leader</x:v>
      </x:c>
      <x:c r="J199" s="37" t="str">
        <x:v>WP-089-DD</x:v>
      </x:c>
      <x:c r="K199" s="37" t="n">
        <x:v>14</x:v>
      </x:c>
      <x:c r="L199" s="37" t="n">
        <x:v>2</x:v>
      </x:c>
      <x:c r="M199" s="37" t="n">
        <x:v>2</x:v>
      </x:c>
      <x:c r="N199" s="38" t="n">
        <x:v>46364</x:v>
      </x:c>
      <x:c r="O199" s="38" t="n">
        <x:v>46365</x:v>
      </x:c>
      <x:c r="P199" s="38"/>
      <x:c r="Q199" s="38"/>
      <x:c r="R199" s="37" t="str">
        <x:v>未着手</x:v>
      </x:c>
      <x:c r="S199" s="40" t="n">
        <x:f>IF(R199="完了",1,IF(R199="修正中",0.8,IF(R199="Review待ち",0.7,IF(R199="作業中",0.3,0))))</x:f>
        <x:v>0</x:v>
      </x:c>
      <x:c r="T199" s="37" t="str">
        <x:f>IF(AND(R199&lt;&gt;"完了",TODAY()&gt;O199),"遅延","")</x:f>
      </x:c>
      <x:c r="U199" s="37" t="str">
        <x:v>SCR-021-VUE Source Code</x:v>
      </x:c>
      <x:c r="V199" s="37" t="str"/>
    </x:row>
    <x:row r="200">
      <x:c r="A200" s="37" t="str">
        <x:v>WP-090-CD</x:v>
      </x:c>
      <x:c r="B200" s="37" t="str">
        <x:v>WP-090</x:v>
      </x:c>
      <x:c r="C200" s="37" t="str">
        <x:v>SCR-022-VUE</x:v>
      </x:c>
      <x:c r="D200" s="37" t="str">
        <x:v>通知一覧画面（Vue）</x:v>
      </x:c>
      <x:c r="E200" s="37" t="str">
        <x:v>画面</x:v>
      </x:c>
      <x:c r="F200" s="37" t="str">
        <x:v>Vue</x:v>
      </x:c>
      <x:c r="G200" s="37" t="str">
        <x:v>Coding</x:v>
      </x:c>
      <x:c r="H200" s="37" t="str">
        <x:v>PG-05</x:v>
      </x:c>
      <x:c r="I200" s="37" t="str">
        <x:v>Project Leader</x:v>
      </x:c>
      <x:c r="J200" s="37" t="str">
        <x:v>WP-090-DD</x:v>
      </x:c>
      <x:c r="K200" s="37" t="n">
        <x:v>14</x:v>
      </x:c>
      <x:c r="L200" s="37" t="n">
        <x:v>2</x:v>
      </x:c>
      <x:c r="M200" s="37" t="n">
        <x:v>2</x:v>
      </x:c>
      <x:c r="N200" s="38" t="n">
        <x:v>46366</x:v>
      </x:c>
      <x:c r="O200" s="38" t="n">
        <x:v>46367</x:v>
      </x:c>
      <x:c r="P200" s="38"/>
      <x:c r="Q200" s="38"/>
      <x:c r="R200" s="37" t="str">
        <x:v>未着手</x:v>
      </x:c>
      <x:c r="S200" s="40" t="n">
        <x:f>IF(R200="完了",1,IF(R200="修正中",0.8,IF(R200="Review待ち",0.7,IF(R200="作業中",0.3,0))))</x:f>
        <x:v>0</x:v>
      </x:c>
      <x:c r="T200" s="37" t="str">
        <x:f>IF(AND(R200&lt;&gt;"完了",TODAY()&gt;O200),"遅延","")</x:f>
      </x:c>
      <x:c r="U200" s="37" t="str">
        <x:v>SCR-022-VUE Source Code</x:v>
      </x:c>
      <x:c r="V200" s="37" t="str"/>
    </x:row>
    <x:row r="201">
      <x:c r="A201" s="37" t="str">
        <x:v>WP-095-CD</x:v>
      </x:c>
      <x:c r="B201" s="37" t="str">
        <x:v>WP-095</x:v>
      </x:c>
      <x:c r="C201" s="37" t="str">
        <x:v>BATCH-001</x:v>
      </x:c>
      <x:c r="D201" s="37" t="str">
        <x:v>期限前Task通知</x:v>
      </x:c>
      <x:c r="E201" s="37" t="str">
        <x:v>Batch</x:v>
      </x:c>
      <x:c r="F201" s="37" t="str">
        <x:v>Spring Batch</x:v>
      </x:c>
      <x:c r="G201" s="37" t="str">
        <x:v>Coding</x:v>
      </x:c>
      <x:c r="H201" s="37" t="str">
        <x:v>PG-05</x:v>
      </x:c>
      <x:c r="I201" s="37" t="str">
        <x:v>Project Leader</x:v>
      </x:c>
      <x:c r="J201" s="37" t="str">
        <x:v>WP-095-DD</x:v>
      </x:c>
      <x:c r="K201" s="37" t="n">
        <x:v>28</x:v>
      </x:c>
      <x:c r="L201" s="37" t="n">
        <x:v>2</x:v>
      </x:c>
      <x:c r="M201" s="37" t="n">
        <x:v>4</x:v>
      </x:c>
      <x:c r="N201" s="38" t="n">
        <x:v>46370</x:v>
      </x:c>
      <x:c r="O201" s="38" t="n">
        <x:v>46373</x:v>
      </x:c>
      <x:c r="P201" s="38"/>
      <x:c r="Q201" s="38"/>
      <x:c r="R201" s="37" t="str">
        <x:v>未着手</x:v>
      </x:c>
      <x:c r="S201" s="40" t="n">
        <x:f>IF(R201="完了",1,IF(R201="修正中",0.8,IF(R201="Review待ち",0.7,IF(R201="作業中",0.3,0))))</x:f>
        <x:v>0</x:v>
      </x:c>
      <x:c r="T201" s="37" t="str">
        <x:f>IF(AND(R201&lt;&gt;"完了",TODAY()&gt;O201),"遅延","")</x:f>
      </x:c>
      <x:c r="U201" s="37" t="str">
        <x:v>BATCH-001 Source Code</x:v>
      </x:c>
      <x:c r="V201" s="37" t="str"/>
    </x:row>
    <x:row r="202">
      <x:c r="A202" s="37" t="str">
        <x:v>WP-096-CD</x:v>
      </x:c>
      <x:c r="B202" s="37" t="str">
        <x:v>WP-096</x:v>
      </x:c>
      <x:c r="C202" s="37" t="str">
        <x:v>BATCH-002</x:v>
      </x:c>
      <x:c r="D202" s="37" t="str">
        <x:v>遅延Task確認</x:v>
      </x:c>
      <x:c r="E202" s="37" t="str">
        <x:v>Batch</x:v>
      </x:c>
      <x:c r="F202" s="37" t="str">
        <x:v>Spring Batch</x:v>
      </x:c>
      <x:c r="G202" s="37" t="str">
        <x:v>Coding</x:v>
      </x:c>
      <x:c r="H202" s="37" t="str">
        <x:v>PG-05</x:v>
      </x:c>
      <x:c r="I202" s="37" t="str">
        <x:v>Project Leader</x:v>
      </x:c>
      <x:c r="J202" s="37" t="str">
        <x:v>WP-096-DD</x:v>
      </x:c>
      <x:c r="K202" s="37" t="n">
        <x:v>28</x:v>
      </x:c>
      <x:c r="L202" s="37" t="n">
        <x:v>2</x:v>
      </x:c>
      <x:c r="M202" s="37" t="n">
        <x:v>4</x:v>
      </x:c>
      <x:c r="N202" s="38" t="n">
        <x:v>46374</x:v>
      </x:c>
      <x:c r="O202" s="38" t="n">
        <x:v>46379</x:v>
      </x:c>
      <x:c r="P202" s="38"/>
      <x:c r="Q202" s="38"/>
      <x:c r="R202" s="37" t="str">
        <x:v>未着手</x:v>
      </x:c>
      <x:c r="S202" s="40" t="n">
        <x:f>IF(R202="完了",1,IF(R202="修正中",0.8,IF(R202="Review待ち",0.7,IF(R202="作業中",0.3,0))))</x:f>
        <x:v>0</x:v>
      </x:c>
      <x:c r="T202" s="37" t="str">
        <x:f>IF(AND(R202&lt;&gt;"完了",TODAY()&gt;O202),"遅延","")</x:f>
      </x:c>
      <x:c r="U202" s="37" t="str">
        <x:v>BATCH-002 Source Code</x:v>
      </x:c>
      <x:c r="V202" s="37" t="str"/>
    </x:row>
    <x:row r="203">
      <x:c r="A203" s="37" t="str">
        <x:v>WP-097-CD</x:v>
      </x:c>
      <x:c r="B203" s="37" t="str">
        <x:v>WP-097</x:v>
      </x:c>
      <x:c r="C203" s="37" t="str">
        <x:v>BATCH-003</x:v>
      </x:c>
      <x:c r="D203" s="37" t="str">
        <x:v>日報未提出通知</x:v>
      </x:c>
      <x:c r="E203" s="37" t="str">
        <x:v>Batch</x:v>
      </x:c>
      <x:c r="F203" s="37" t="str">
        <x:v>Spring Batch</x:v>
      </x:c>
      <x:c r="G203" s="37" t="str">
        <x:v>Coding</x:v>
      </x:c>
      <x:c r="H203" s="37" t="str">
        <x:v>PG-05</x:v>
      </x:c>
      <x:c r="I203" s="37" t="str">
        <x:v>Project Leader</x:v>
      </x:c>
      <x:c r="J203" s="37" t="str">
        <x:v>WP-097-DD</x:v>
      </x:c>
      <x:c r="K203" s="37" t="n">
        <x:v>28</x:v>
      </x:c>
      <x:c r="L203" s="37" t="n">
        <x:v>2</x:v>
      </x:c>
      <x:c r="M203" s="37" t="n">
        <x:v>4</x:v>
      </x:c>
      <x:c r="N203" s="38" t="n">
        <x:v>46380</x:v>
      </x:c>
      <x:c r="O203" s="38" t="n">
        <x:v>46385</x:v>
      </x:c>
      <x:c r="P203" s="38"/>
      <x:c r="Q203" s="38"/>
      <x:c r="R203" s="37" t="str">
        <x:v>未着手</x:v>
      </x:c>
      <x:c r="S203" s="40" t="n">
        <x:f>IF(R203="完了",1,IF(R203="修正中",0.8,IF(R203="Review待ち",0.7,IF(R203="作業中",0.3,0))))</x:f>
        <x:v>0</x:v>
      </x:c>
      <x:c r="T203" s="37" t="str">
        <x:f>IF(AND(R203&lt;&gt;"完了",TODAY()&gt;O203),"遅延","")</x:f>
      </x:c>
      <x:c r="U203" s="37" t="str">
        <x:v>BATCH-003 Source Code</x:v>
      </x:c>
      <x:c r="V203" s="37" t="str"/>
    </x:row>
    <x:row r="204">
      <x:c r="A204" s="37" t="str">
        <x:v>WP-098-CD</x:v>
      </x:c>
      <x:c r="B204" s="37" t="str">
        <x:v>WP-098</x:v>
      </x:c>
      <x:c r="C204" s="37" t="str">
        <x:v>BATCH-004</x:v>
      </x:c>
      <x:c r="D204" s="37" t="str">
        <x:v>既読通知削除</x:v>
      </x:c>
      <x:c r="E204" s="37" t="str">
        <x:v>Batch</x:v>
      </x:c>
      <x:c r="F204" s="37" t="str">
        <x:v>Spring Batch</x:v>
      </x:c>
      <x:c r="G204" s="37" t="str">
        <x:v>Coding</x:v>
      </x:c>
      <x:c r="H204" s="37" t="str">
        <x:v>PG-05</x:v>
      </x:c>
      <x:c r="I204" s="37" t="str">
        <x:v>Project Leader</x:v>
      </x:c>
      <x:c r="J204" s="37" t="str">
        <x:v>WP-098-DD</x:v>
      </x:c>
      <x:c r="K204" s="37" t="n">
        <x:v>21</x:v>
      </x:c>
      <x:c r="L204" s="37" t="n">
        <x:v>2</x:v>
      </x:c>
      <x:c r="M204" s="37" t="n">
        <x:v>3</x:v>
      </x:c>
      <x:c r="N204" s="38" t="n">
        <x:v>46386</x:v>
      </x:c>
      <x:c r="O204" s="38" t="n">
        <x:v>46391</x:v>
      </x:c>
      <x:c r="P204" s="38"/>
      <x:c r="Q204" s="38"/>
      <x:c r="R204" s="37" t="str">
        <x:v>未着手</x:v>
      </x:c>
      <x:c r="S204" s="40" t="n">
        <x:f>IF(R204="完了",1,IF(R204="修正中",0.8,IF(R204="Review待ち",0.7,IF(R204="作業中",0.3,0))))</x:f>
        <x:v>0</x:v>
      </x:c>
      <x:c r="T204" s="37" t="str">
        <x:f>IF(AND(R204&lt;&gt;"完了",TODAY()&gt;O204),"遅延","")</x:f>
      </x:c>
      <x:c r="U204" s="37" t="str">
        <x:v>BATCH-004 Source Code</x:v>
      </x:c>
      <x:c r="V204" s="37" t="str"/>
    </x:row>
    <x:row r="205">
      <x:c r="A205" s="37" t="str">
        <x:v>WP-099-CD</x:v>
      </x:c>
      <x:c r="B205" s="37" t="str">
        <x:v>WP-099</x:v>
      </x:c>
      <x:c r="C205" s="37" t="str">
        <x:v>BATCH-005</x:v>
      </x:c>
      <x:c r="D205" s="37" t="str">
        <x:v>監査Log削除</x:v>
      </x:c>
      <x:c r="E205" s="37" t="str">
        <x:v>Batch</x:v>
      </x:c>
      <x:c r="F205" s="37" t="str">
        <x:v>Spring Batch</x:v>
      </x:c>
      <x:c r="G205" s="37" t="str">
        <x:v>Coding</x:v>
      </x:c>
      <x:c r="H205" s="37" t="str">
        <x:v>PG-05</x:v>
      </x:c>
      <x:c r="I205" s="37" t="str">
        <x:v>Project Leader</x:v>
      </x:c>
      <x:c r="J205" s="37" t="str">
        <x:v>WP-099-DD</x:v>
      </x:c>
      <x:c r="K205" s="37" t="n">
        <x:v>21</x:v>
      </x:c>
      <x:c r="L205" s="37" t="n">
        <x:v>2</x:v>
      </x:c>
      <x:c r="M205" s="37" t="n">
        <x:v>3</x:v>
      </x:c>
      <x:c r="N205" s="38" t="n">
        <x:v>46392</x:v>
      </x:c>
      <x:c r="O205" s="38" t="n">
        <x:v>46394</x:v>
      </x:c>
      <x:c r="P205" s="38"/>
      <x:c r="Q205" s="38"/>
      <x:c r="R205" s="37" t="str">
        <x:v>未着手</x:v>
      </x:c>
      <x:c r="S205" s="40" t="n">
        <x:f>IF(R205="完了",1,IF(R205="修正中",0.8,IF(R205="Review待ち",0.7,IF(R205="作業中",0.3,0))))</x:f>
        <x:v>0</x:v>
      </x:c>
      <x:c r="T205" s="37" t="str">
        <x:f>IF(AND(R205&lt;&gt;"完了",TODAY()&gt;O205),"遅延","")</x:f>
      </x:c>
      <x:c r="U205" s="37" t="str">
        <x:v>BATCH-005 Source Code</x:v>
      </x:c>
      <x:c r="V205" s="37" t="str"/>
    </x:row>
    <x:row r="206">
      <x:c r="A206" s="37" t="str">
        <x:v>WP-100-CD</x:v>
      </x:c>
      <x:c r="B206" s="37" t="str">
        <x:v>WP-100</x:v>
      </x:c>
      <x:c r="C206" s="37" t="str">
        <x:v>BATCH-006</x:v>
      </x:c>
      <x:c r="D206" s="37" t="str">
        <x:v>Refresh Token削除</x:v>
      </x:c>
      <x:c r="E206" s="37" t="str">
        <x:v>Batch</x:v>
      </x:c>
      <x:c r="F206" s="37" t="str">
        <x:v>Spring Batch</x:v>
      </x:c>
      <x:c r="G206" s="37" t="str">
        <x:v>Coding</x:v>
      </x:c>
      <x:c r="H206" s="37" t="str">
        <x:v>PG-05</x:v>
      </x:c>
      <x:c r="I206" s="37" t="str">
        <x:v>Project Leader</x:v>
      </x:c>
      <x:c r="J206" s="37" t="str">
        <x:v>WP-100-DD</x:v>
      </x:c>
      <x:c r="K206" s="37" t="n">
        <x:v>21</x:v>
      </x:c>
      <x:c r="L206" s="37" t="n">
        <x:v>2</x:v>
      </x:c>
      <x:c r="M206" s="37" t="n">
        <x:v>3</x:v>
      </x:c>
      <x:c r="N206" s="38" t="n">
        <x:v>46395</x:v>
      </x:c>
      <x:c r="O206" s="38" t="n">
        <x:v>46400</x:v>
      </x:c>
      <x:c r="P206" s="38"/>
      <x:c r="Q206" s="38"/>
      <x:c r="R206" s="37" t="str">
        <x:v>未着手</x:v>
      </x:c>
      <x:c r="S206" s="40" t="n">
        <x:f>IF(R206="完了",1,IF(R206="修正中",0.8,IF(R206="Review待ち",0.7,IF(R206="作業中",0.3,0))))</x:f>
        <x:v>0</x:v>
      </x:c>
      <x:c r="T206" s="37" t="str">
        <x:f>IF(AND(R206&lt;&gt;"完了",TODAY()&gt;O206),"遅延","")</x:f>
      </x:c>
      <x:c r="U206" s="37" t="str">
        <x:v>BATCH-006 Source Code</x:v>
      </x:c>
      <x:c r="V206" s="37" t="str"/>
    </x:row>
    <x:row r="207">
      <x:c r="A207" s="37" t="str">
        <x:v>WP-001-UT</x:v>
      </x:c>
      <x:c r="B207" s="37" t="str">
        <x:v>WP-001</x:v>
      </x:c>
      <x:c r="C207" s="37" t="str">
        <x:v>COM-BE-001</x:v>
      </x:c>
      <x:c r="D207" s="37" t="str">
        <x:v>Backend共通基盤</x:v>
      </x:c>
      <x:c r="E207" s="37" t="str">
        <x:v>共通</x:v>
      </x:c>
      <x:c r="F207" s="37" t="str">
        <x:v>Backend/共通</x:v>
      </x:c>
      <x:c r="G207" s="37" t="str">
        <x:v>単体テスト</x:v>
      </x:c>
      <x:c r="H207" s="37" t="str">
        <x:v>PG-01</x:v>
      </x:c>
      <x:c r="I207" s="37" t="str">
        <x:v>Project Leader</x:v>
      </x:c>
      <x:c r="J207" s="37" t="str">
        <x:v>WP-001-CD</x:v>
      </x:c>
      <x:c r="K207" s="37" t="n">
        <x:v>21</x:v>
      </x:c>
      <x:c r="L207" s="37" t="n">
        <x:v>1</x:v>
      </x:c>
      <x:c r="M207" s="37" t="n">
        <x:v>3</x:v>
      </x:c>
      <x:c r="N207" s="38" t="n">
        <x:v>46413</x:v>
      </x:c>
      <x:c r="O207" s="38" t="n">
        <x:v>46415</x:v>
      </x:c>
      <x:c r="P207" s="38"/>
      <x:c r="Q207" s="38"/>
      <x:c r="R207" s="37" t="str">
        <x:v>未着手</x:v>
      </x:c>
      <x:c r="S207" s="40" t="n">
        <x:f>IF(R207="完了",1,IF(R207="修正中",0.8,IF(R207="Review待ち",0.7,IF(R207="作業中",0.3,0))))</x:f>
        <x:v>0</x:v>
      </x:c>
      <x:c r="T207" s="37" t="str">
        <x:f>IF(AND(R207&lt;&gt;"完了",TODAY()&gt;O207),"遅延","")</x:f>
      </x:c>
      <x:c r="U207" s="37" t="str">
        <x:v>COM-BE-001 単体テスト仕様書・証跡</x:v>
      </x:c>
      <x:c r="V207" s="37" t="str"/>
    </x:row>
    <x:row r="208">
      <x:c r="A208" s="37" t="str">
        <x:v>WP-002-UT</x:v>
      </x:c>
      <x:c r="B208" s="37" t="str">
        <x:v>WP-002</x:v>
      </x:c>
      <x:c r="C208" s="37" t="str">
        <x:v>COM-SEC-001</x:v>
      </x:c>
      <x:c r="D208" s="37" t="str">
        <x:v>認証・Security共通</x:v>
      </x:c>
      <x:c r="E208" s="37" t="str">
        <x:v>共通</x:v>
      </x:c>
      <x:c r="F208" s="37" t="str">
        <x:v>Backend/共通</x:v>
      </x:c>
      <x:c r="G208" s="37" t="str">
        <x:v>単体テスト</x:v>
      </x:c>
      <x:c r="H208" s="37" t="str">
        <x:v>PG-01</x:v>
      </x:c>
      <x:c r="I208" s="37" t="str">
        <x:v>Project Leader</x:v>
      </x:c>
      <x:c r="J208" s="37" t="str">
        <x:v>WP-002-CD</x:v>
      </x:c>
      <x:c r="K208" s="37" t="n">
        <x:v>21</x:v>
      </x:c>
      <x:c r="L208" s="37" t="n">
        <x:v>1</x:v>
      </x:c>
      <x:c r="M208" s="37" t="n">
        <x:v>3</x:v>
      </x:c>
      <x:c r="N208" s="38" t="n">
        <x:v>46416</x:v>
      </x:c>
      <x:c r="O208" s="38" t="n">
        <x:v>46420</x:v>
      </x:c>
      <x:c r="P208" s="38"/>
      <x:c r="Q208" s="38"/>
      <x:c r="R208" s="37" t="str">
        <x:v>未着手</x:v>
      </x:c>
      <x:c r="S208" s="40" t="n">
        <x:f>IF(R208="完了",1,IF(R208="修正中",0.8,IF(R208="Review待ち",0.7,IF(R208="作業中",0.3,0))))</x:f>
        <x:v>0</x:v>
      </x:c>
      <x:c r="T208" s="37" t="str">
        <x:f>IF(AND(R208&lt;&gt;"完了",TODAY()&gt;O208),"遅延","")</x:f>
      </x:c>
      <x:c r="U208" s="37" t="str">
        <x:v>COM-SEC-001 単体テスト仕様書・証跡</x:v>
      </x:c>
      <x:c r="V208" s="37" t="str"/>
    </x:row>
    <x:row r="209">
      <x:c r="A209" s="37" t="str">
        <x:v>WP-007-UT</x:v>
      </x:c>
      <x:c r="B209" s="37" t="str">
        <x:v>WP-007</x:v>
      </x:c>
      <x:c r="C209" s="37" t="str">
        <x:v>API-AUTH-001</x:v>
      </x:c>
      <x:c r="D209" s="37" t="str">
        <x:v>ログイン</x:v>
      </x:c>
      <x:c r="E209" s="37" t="str">
        <x:v>API</x:v>
      </x:c>
      <x:c r="F209" s="37" t="str">
        <x:v>Spring Boot</x:v>
      </x:c>
      <x:c r="G209" s="37" t="str">
        <x:v>単体テスト</x:v>
      </x:c>
      <x:c r="H209" s="37" t="str">
        <x:v>PG-01</x:v>
      </x:c>
      <x:c r="I209" s="37" t="str">
        <x:v>Project Leader</x:v>
      </x:c>
      <x:c r="J209" s="37" t="str">
        <x:v>WP-007-CD</x:v>
      </x:c>
      <x:c r="K209" s="37" t="n">
        <x:v>14</x:v>
      </x:c>
      <x:c r="L209" s="37" t="n">
        <x:v>1</x:v>
      </x:c>
      <x:c r="M209" s="37" t="n">
        <x:v>2</x:v>
      </x:c>
      <x:c r="N209" s="38" t="n">
        <x:v>46421</x:v>
      </x:c>
      <x:c r="O209" s="38" t="n">
        <x:v>46422</x:v>
      </x:c>
      <x:c r="P209" s="38"/>
      <x:c r="Q209" s="38"/>
      <x:c r="R209" s="37" t="str">
        <x:v>未着手</x:v>
      </x:c>
      <x:c r="S209" s="40" t="n">
        <x:f>IF(R209="完了",1,IF(R209="修正中",0.8,IF(R209="Review待ち",0.7,IF(R209="作業中",0.3,0))))</x:f>
        <x:v>0</x:v>
      </x:c>
      <x:c r="T209" s="37" t="str">
        <x:f>IF(AND(R209&lt;&gt;"完了",TODAY()&gt;O209),"遅延","")</x:f>
      </x:c>
      <x:c r="U209" s="37" t="str">
        <x:v>API-AUTH-001 単体テスト仕様書・証跡</x:v>
      </x:c>
      <x:c r="V209" s="37" t="str"/>
    </x:row>
    <x:row r="210">
      <x:c r="A210" s="37" t="str">
        <x:v>WP-008-UT</x:v>
      </x:c>
      <x:c r="B210" s="37" t="str">
        <x:v>WP-008</x:v>
      </x:c>
      <x:c r="C210" s="37" t="str">
        <x:v>API-AUTH-002</x:v>
      </x:c>
      <x:c r="D210" s="37" t="str">
        <x:v>ログアウト</x:v>
      </x:c>
      <x:c r="E210" s="37" t="str">
        <x:v>API</x:v>
      </x:c>
      <x:c r="F210" s="37" t="str">
        <x:v>Spring Boot</x:v>
      </x:c>
      <x:c r="G210" s="37" t="str">
        <x:v>単体テスト</x:v>
      </x:c>
      <x:c r="H210" s="37" t="str">
        <x:v>PG-01</x:v>
      </x:c>
      <x:c r="I210" s="37" t="str">
        <x:v>Project Leader</x:v>
      </x:c>
      <x:c r="J210" s="37" t="str">
        <x:v>WP-008-CD</x:v>
      </x:c>
      <x:c r="K210" s="37" t="n">
        <x:v>14</x:v>
      </x:c>
      <x:c r="L210" s="37" t="n">
        <x:v>1</x:v>
      </x:c>
      <x:c r="M210" s="37" t="n">
        <x:v>2</x:v>
      </x:c>
      <x:c r="N210" s="38" t="n">
        <x:v>46423</x:v>
      </x:c>
      <x:c r="O210" s="38" t="n">
        <x:v>46426</x:v>
      </x:c>
      <x:c r="P210" s="38"/>
      <x:c r="Q210" s="38"/>
      <x:c r="R210" s="37" t="str">
        <x:v>未着手</x:v>
      </x:c>
      <x:c r="S210" s="40" t="n">
        <x:f>IF(R210="完了",1,IF(R210="修正中",0.8,IF(R210="Review待ち",0.7,IF(R210="作業中",0.3,0))))</x:f>
        <x:v>0</x:v>
      </x:c>
      <x:c r="T210" s="37" t="str">
        <x:f>IF(AND(R210&lt;&gt;"完了",TODAY()&gt;O210),"遅延","")</x:f>
      </x:c>
      <x:c r="U210" s="37" t="str">
        <x:v>API-AUTH-002 単体テスト仕様書・証跡</x:v>
      </x:c>
      <x:c r="V210" s="37" t="str"/>
    </x:row>
    <x:row r="211">
      <x:c r="A211" s="37" t="str">
        <x:v>WP-009-UT</x:v>
      </x:c>
      <x:c r="B211" s="37" t="str">
        <x:v>WP-009</x:v>
      </x:c>
      <x:c r="C211" s="37" t="str">
        <x:v>API-AUTH-003</x:v>
      </x:c>
      <x:c r="D211" s="37" t="str">
        <x:v>Token更新</x:v>
      </x:c>
      <x:c r="E211" s="37" t="str">
        <x:v>API</x:v>
      </x:c>
      <x:c r="F211" s="37" t="str">
        <x:v>Spring Boot</x:v>
      </x:c>
      <x:c r="G211" s="37" t="str">
        <x:v>単体テスト</x:v>
      </x:c>
      <x:c r="H211" s="37" t="str">
        <x:v>PG-01</x:v>
      </x:c>
      <x:c r="I211" s="37" t="str">
        <x:v>Project Leader</x:v>
      </x:c>
      <x:c r="J211" s="37" t="str">
        <x:v>WP-009-CD</x:v>
      </x:c>
      <x:c r="K211" s="37" t="n">
        <x:v>21</x:v>
      </x:c>
      <x:c r="L211" s="37" t="n">
        <x:v>1</x:v>
      </x:c>
      <x:c r="M211" s="37" t="n">
        <x:v>3</x:v>
      </x:c>
      <x:c r="N211" s="38" t="n">
        <x:v>46427</x:v>
      </x:c>
      <x:c r="O211" s="38" t="n">
        <x:v>46430</x:v>
      </x:c>
      <x:c r="P211" s="38"/>
      <x:c r="Q211" s="38"/>
      <x:c r="R211" s="37" t="str">
        <x:v>未着手</x:v>
      </x:c>
      <x:c r="S211" s="40" t="n">
        <x:f>IF(R211="完了",1,IF(R211="修正中",0.8,IF(R211="Review待ち",0.7,IF(R211="作業中",0.3,0))))</x:f>
        <x:v>0</x:v>
      </x:c>
      <x:c r="T211" s="37" t="str">
        <x:f>IF(AND(R211&lt;&gt;"完了",TODAY()&gt;O211),"遅延","")</x:f>
      </x:c>
      <x:c r="U211" s="37" t="str">
        <x:v>API-AUTH-003 単体テスト仕様書・証跡</x:v>
      </x:c>
      <x:c r="V211" s="37" t="str"/>
    </x:row>
    <x:row r="212">
      <x:c r="A212" s="37" t="str">
        <x:v>WP-010-UT</x:v>
      </x:c>
      <x:c r="B212" s="37" t="str">
        <x:v>WP-010</x:v>
      </x:c>
      <x:c r="C212" s="37" t="str">
        <x:v>API-AUTH-004</x:v>
      </x:c>
      <x:c r="D212" s="37" t="str">
        <x:v>現在ユーザー取得</x:v>
      </x:c>
      <x:c r="E212" s="37" t="str">
        <x:v>API</x:v>
      </x:c>
      <x:c r="F212" s="37" t="str">
        <x:v>Spring Boot</x:v>
      </x:c>
      <x:c r="G212" s="37" t="str">
        <x:v>単体テスト</x:v>
      </x:c>
      <x:c r="H212" s="37" t="str">
        <x:v>PG-01</x:v>
      </x:c>
      <x:c r="I212" s="37" t="str">
        <x:v>Project Leader</x:v>
      </x:c>
      <x:c r="J212" s="37" t="str">
        <x:v>WP-010-CD</x:v>
      </x:c>
      <x:c r="K212" s="37" t="n">
        <x:v>7</x:v>
      </x:c>
      <x:c r="L212" s="37" t="n">
        <x:v>1</x:v>
      </x:c>
      <x:c r="M212" s="37" t="n">
        <x:v>1</x:v>
      </x:c>
      <x:c r="N212" s="38" t="n">
        <x:v>46433</x:v>
      </x:c>
      <x:c r="O212" s="38" t="n">
        <x:v>46433</x:v>
      </x:c>
      <x:c r="P212" s="38"/>
      <x:c r="Q212" s="38"/>
      <x:c r="R212" s="37" t="str">
        <x:v>未着手</x:v>
      </x:c>
      <x:c r="S212" s="40" t="n">
        <x:f>IF(R212="完了",1,IF(R212="修正中",0.8,IF(R212="Review待ち",0.7,IF(R212="作業中",0.3,0))))</x:f>
        <x:v>0</x:v>
      </x:c>
      <x:c r="T212" s="37" t="str">
        <x:f>IF(AND(R212&lt;&gt;"完了",TODAY()&gt;O212),"遅延","")</x:f>
      </x:c>
      <x:c r="U212" s="37" t="str">
        <x:v>API-AUTH-004 単体テスト仕様書・証跡</x:v>
      </x:c>
      <x:c r="V212" s="37" t="str"/>
    </x:row>
    <x:row r="213">
      <x:c r="A213" s="37" t="str">
        <x:v>WP-011-UT</x:v>
      </x:c>
      <x:c r="B213" s="37" t="str">
        <x:v>WP-011</x:v>
      </x:c>
      <x:c r="C213" s="37" t="str">
        <x:v>API-AUTH-005</x:v>
      </x:c>
      <x:c r="D213" s="37" t="str">
        <x:v>パスワード変更</x:v>
      </x:c>
      <x:c r="E213" s="37" t="str">
        <x:v>API</x:v>
      </x:c>
      <x:c r="F213" s="37" t="str">
        <x:v>Spring Boot</x:v>
      </x:c>
      <x:c r="G213" s="37" t="str">
        <x:v>単体テスト</x:v>
      </x:c>
      <x:c r="H213" s="37" t="str">
        <x:v>PG-01</x:v>
      </x:c>
      <x:c r="I213" s="37" t="str">
        <x:v>Project Leader</x:v>
      </x:c>
      <x:c r="J213" s="37" t="str">
        <x:v>WP-011-CD</x:v>
      </x:c>
      <x:c r="K213" s="37" t="n">
        <x:v>14</x:v>
      </x:c>
      <x:c r="L213" s="37" t="n">
        <x:v>1</x:v>
      </x:c>
      <x:c r="M213" s="37" t="n">
        <x:v>2</x:v>
      </x:c>
      <x:c r="N213" s="38" t="n">
        <x:v>46434</x:v>
      </x:c>
      <x:c r="O213" s="38" t="n">
        <x:v>46435</x:v>
      </x:c>
      <x:c r="P213" s="38"/>
      <x:c r="Q213" s="38"/>
      <x:c r="R213" s="37" t="str">
        <x:v>未着手</x:v>
      </x:c>
      <x:c r="S213" s="40" t="n">
        <x:f>IF(R213="完了",1,IF(R213="修正中",0.8,IF(R213="Review待ち",0.7,IF(R213="作業中",0.3,0))))</x:f>
        <x:v>0</x:v>
      </x:c>
      <x:c r="T213" s="37" t="str">
        <x:f>IF(AND(R213&lt;&gt;"完了",TODAY()&gt;O213),"遅延","")</x:f>
      </x:c>
      <x:c r="U213" s="37" t="str">
        <x:v>API-AUTH-005 単体テスト仕様書・証跡</x:v>
      </x:c>
      <x:c r="V213" s="37" t="str"/>
    </x:row>
    <x:row r="214">
      <x:c r="A214" s="37" t="str">
        <x:v>WP-012-UT</x:v>
      </x:c>
      <x:c r="B214" s="37" t="str">
        <x:v>WP-012</x:v>
      </x:c>
      <x:c r="C214" s="37" t="str">
        <x:v>API-DASH-001</x:v>
      </x:c>
      <x:c r="D214" s="37" t="str">
        <x:v>ホーム集計取得</x:v>
      </x:c>
      <x:c r="E214" s="37" t="str">
        <x:v>API</x:v>
      </x:c>
      <x:c r="F214" s="37" t="str">
        <x:v>Spring Boot</x:v>
      </x:c>
      <x:c r="G214" s="37" t="str">
        <x:v>単体テスト</x:v>
      </x:c>
      <x:c r="H214" s="37" t="str">
        <x:v>PG-01</x:v>
      </x:c>
      <x:c r="I214" s="37" t="str">
        <x:v>Project Leader</x:v>
      </x:c>
      <x:c r="J214" s="37" t="str">
        <x:v>WP-012-CD</x:v>
      </x:c>
      <x:c r="K214" s="37" t="n">
        <x:v>7</x:v>
      </x:c>
      <x:c r="L214" s="37" t="n">
        <x:v>1</x:v>
      </x:c>
      <x:c r="M214" s="37" t="n">
        <x:v>1</x:v>
      </x:c>
      <x:c r="N214" s="38" t="n">
        <x:v>46436</x:v>
      </x:c>
      <x:c r="O214" s="38" t="n">
        <x:v>46436</x:v>
      </x:c>
      <x:c r="P214" s="38"/>
      <x:c r="Q214" s="38"/>
      <x:c r="R214" s="37" t="str">
        <x:v>未着手</x:v>
      </x:c>
      <x:c r="S214" s="40" t="n">
        <x:f>IF(R214="完了",1,IF(R214="修正中",0.8,IF(R214="Review待ち",0.7,IF(R214="作業中",0.3,0))))</x:f>
        <x:v>0</x:v>
      </x:c>
      <x:c r="T214" s="37" t="str">
        <x:f>IF(AND(R214&lt;&gt;"完了",TODAY()&gt;O214),"遅延","")</x:f>
      </x:c>
      <x:c r="U214" s="37" t="str">
        <x:v>API-DASH-001 単体テスト仕様書・証跡</x:v>
      </x:c>
      <x:c r="V214" s="37" t="str"/>
    </x:row>
    <x:row r="215">
      <x:c r="A215" s="37" t="str">
        <x:v>WP-013-UT</x:v>
      </x:c>
      <x:c r="B215" s="37" t="str">
        <x:v>WP-013</x:v>
      </x:c>
      <x:c r="C215" s="37" t="str">
        <x:v>API-MST-001</x:v>
      </x:c>
      <x:c r="D215" s="37" t="str">
        <x:v>部門選択肢</x:v>
      </x:c>
      <x:c r="E215" s="37" t="str">
        <x:v>API</x:v>
      </x:c>
      <x:c r="F215" s="37" t="str">
        <x:v>Spring Boot</x:v>
      </x:c>
      <x:c r="G215" s="37" t="str">
        <x:v>単体テスト</x:v>
      </x:c>
      <x:c r="H215" s="37" t="str">
        <x:v>PG-01</x:v>
      </x:c>
      <x:c r="I215" s="37" t="str">
        <x:v>Project Leader</x:v>
      </x:c>
      <x:c r="J215" s="37" t="str">
        <x:v>WP-013-CD</x:v>
      </x:c>
      <x:c r="K215" s="37" t="n">
        <x:v>7</x:v>
      </x:c>
      <x:c r="L215" s="37" t="n">
        <x:v>1</x:v>
      </x:c>
      <x:c r="M215" s="37" t="n">
        <x:v>1</x:v>
      </x:c>
      <x:c r="N215" s="38" t="n">
        <x:v>46437</x:v>
      </x:c>
      <x:c r="O215" s="38" t="n">
        <x:v>46437</x:v>
      </x:c>
      <x:c r="P215" s="38"/>
      <x:c r="Q215" s="38"/>
      <x:c r="R215" s="37" t="str">
        <x:v>未着手</x:v>
      </x:c>
      <x:c r="S215" s="40" t="n">
        <x:f>IF(R215="完了",1,IF(R215="修正中",0.8,IF(R215="Review待ち",0.7,IF(R215="作業中",0.3,0))))</x:f>
        <x:v>0</x:v>
      </x:c>
      <x:c r="T215" s="37" t="str">
        <x:f>IF(AND(R215&lt;&gt;"完了",TODAY()&gt;O215),"遅延","")</x:f>
      </x:c>
      <x:c r="U215" s="37" t="str">
        <x:v>API-MST-001 単体テスト仕様書・証跡</x:v>
      </x:c>
      <x:c r="V215" s="37" t="str"/>
    </x:row>
    <x:row r="216">
      <x:c r="A216" s="37" t="str">
        <x:v>WP-014-UT</x:v>
      </x:c>
      <x:c r="B216" s="37" t="str">
        <x:v>WP-014</x:v>
      </x:c>
      <x:c r="C216" s="37" t="str">
        <x:v>API-MST-002</x:v>
      </x:c>
      <x:c r="D216" s="37" t="str">
        <x:v>社員選択肢</x:v>
      </x:c>
      <x:c r="E216" s="37" t="str">
        <x:v>API</x:v>
      </x:c>
      <x:c r="F216" s="37" t="str">
        <x:v>Spring Boot</x:v>
      </x:c>
      <x:c r="G216" s="37" t="str">
        <x:v>単体テスト</x:v>
      </x:c>
      <x:c r="H216" s="37" t="str">
        <x:v>PG-01</x:v>
      </x:c>
      <x:c r="I216" s="37" t="str">
        <x:v>Project Leader</x:v>
      </x:c>
      <x:c r="J216" s="37" t="str">
        <x:v>WP-014-CD</x:v>
      </x:c>
      <x:c r="K216" s="37" t="n">
        <x:v>7</x:v>
      </x:c>
      <x:c r="L216" s="37" t="n">
        <x:v>1</x:v>
      </x:c>
      <x:c r="M216" s="37" t="n">
        <x:v>1</x:v>
      </x:c>
      <x:c r="N216" s="38" t="n">
        <x:v>46440</x:v>
      </x:c>
      <x:c r="O216" s="38" t="n">
        <x:v>46440</x:v>
      </x:c>
      <x:c r="P216" s="38"/>
      <x:c r="Q216" s="38"/>
      <x:c r="R216" s="37" t="str">
        <x:v>未着手</x:v>
      </x:c>
      <x:c r="S216" s="40" t="n">
        <x:f>IF(R216="完了",1,IF(R216="修正中",0.8,IF(R216="Review待ち",0.7,IF(R216="作業中",0.3,0))))</x:f>
        <x:v>0</x:v>
      </x:c>
      <x:c r="T216" s="37" t="str">
        <x:f>IF(AND(R216&lt;&gt;"完了",TODAY()&gt;O216),"遅延","")</x:f>
      </x:c>
      <x:c r="U216" s="37" t="str">
        <x:v>API-MST-002 単体テスト仕様書・証跡</x:v>
      </x:c>
      <x:c r="V216" s="37" t="str"/>
    </x:row>
    <x:row r="217">
      <x:c r="A217" s="37" t="str">
        <x:v>WP-015-UT</x:v>
      </x:c>
      <x:c r="B217" s="37" t="str">
        <x:v>WP-015</x:v>
      </x:c>
      <x:c r="C217" s="37" t="str">
        <x:v>API-MST-003</x:v>
      </x:c>
      <x:c r="D217" s="37" t="str">
        <x:v>PJ選択肢</x:v>
      </x:c>
      <x:c r="E217" s="37" t="str">
        <x:v>API</x:v>
      </x:c>
      <x:c r="F217" s="37" t="str">
        <x:v>Spring Boot</x:v>
      </x:c>
      <x:c r="G217" s="37" t="str">
        <x:v>単体テスト</x:v>
      </x:c>
      <x:c r="H217" s="37" t="str">
        <x:v>PG-01</x:v>
      </x:c>
      <x:c r="I217" s="37" t="str">
        <x:v>Project Leader</x:v>
      </x:c>
      <x:c r="J217" s="37" t="str">
        <x:v>WP-015-CD</x:v>
      </x:c>
      <x:c r="K217" s="37" t="n">
        <x:v>7</x:v>
      </x:c>
      <x:c r="L217" s="37" t="n">
        <x:v>1</x:v>
      </x:c>
      <x:c r="M217" s="37" t="n">
        <x:v>1</x:v>
      </x:c>
      <x:c r="N217" s="38" t="n">
        <x:v>46442</x:v>
      </x:c>
      <x:c r="O217" s="38" t="n">
        <x:v>46442</x:v>
      </x:c>
      <x:c r="P217" s="38"/>
      <x:c r="Q217" s="38"/>
      <x:c r="R217" s="37" t="str">
        <x:v>未着手</x:v>
      </x:c>
      <x:c r="S217" s="40" t="n">
        <x:f>IF(R217="完了",1,IF(R217="修正中",0.8,IF(R217="Review待ち",0.7,IF(R217="作業中",0.3,0))))</x:f>
        <x:v>0</x:v>
      </x:c>
      <x:c r="T217" s="37" t="str">
        <x:f>IF(AND(R217&lt;&gt;"完了",TODAY()&gt;O217),"遅延","")</x:f>
      </x:c>
      <x:c r="U217" s="37" t="str">
        <x:v>API-MST-003 単体テスト仕様書・証跡</x:v>
      </x:c>
      <x:c r="V217" s="37" t="str"/>
    </x:row>
    <x:row r="218">
      <x:c r="A218" s="37" t="str">
        <x:v>WP-016-UT</x:v>
      </x:c>
      <x:c r="B218" s="37" t="str">
        <x:v>WP-016</x:v>
      </x:c>
      <x:c r="C218" s="37" t="str">
        <x:v>API-MST-004</x:v>
      </x:c>
      <x:c r="D218" s="37" t="str">
        <x:v>Role/権限選択肢</x:v>
      </x:c>
      <x:c r="E218" s="37" t="str">
        <x:v>API</x:v>
      </x:c>
      <x:c r="F218" s="37" t="str">
        <x:v>Spring Boot</x:v>
      </x:c>
      <x:c r="G218" s="37" t="str">
        <x:v>単体テスト</x:v>
      </x:c>
      <x:c r="H218" s="37" t="str">
        <x:v>PG-01</x:v>
      </x:c>
      <x:c r="I218" s="37" t="str">
        <x:v>Project Leader</x:v>
      </x:c>
      <x:c r="J218" s="37" t="str">
        <x:v>WP-016-CD</x:v>
      </x:c>
      <x:c r="K218" s="37" t="n">
        <x:v>21</x:v>
      </x:c>
      <x:c r="L218" s="37" t="n">
        <x:v>1</x:v>
      </x:c>
      <x:c r="M218" s="37" t="n">
        <x:v>3</x:v>
      </x:c>
      <x:c r="N218" s="38" t="n">
        <x:v>46443</x:v>
      </x:c>
      <x:c r="O218" s="38" t="n">
        <x:v>46447</x:v>
      </x:c>
      <x:c r="P218" s="38"/>
      <x:c r="Q218" s="38"/>
      <x:c r="R218" s="37" t="str">
        <x:v>未着手</x:v>
      </x:c>
      <x:c r="S218" s="40" t="n">
        <x:f>IF(R218="完了",1,IF(R218="修正中",0.8,IF(R218="Review待ち",0.7,IF(R218="作業中",0.3,0))))</x:f>
        <x:v>0</x:v>
      </x:c>
      <x:c r="T218" s="37" t="str">
        <x:f>IF(AND(R218&lt;&gt;"完了",TODAY()&gt;O218),"遅延","")</x:f>
      </x:c>
      <x:c r="U218" s="37" t="str">
        <x:v>API-MST-004 単体テスト仕様書・証跡</x:v>
      </x:c>
      <x:c r="V218" s="37" t="str"/>
    </x:row>
    <x:row r="219">
      <x:c r="A219" s="37" t="str">
        <x:v>WP-017-UT</x:v>
      </x:c>
      <x:c r="B219" s="37" t="str">
        <x:v>WP-017</x:v>
      </x:c>
      <x:c r="C219" s="37" t="str">
        <x:v>API-USR-001</x:v>
      </x:c>
      <x:c r="D219" s="37" t="str">
        <x:v>ユーザー検索</x:v>
      </x:c>
      <x:c r="E219" s="37" t="str">
        <x:v>API</x:v>
      </x:c>
      <x:c r="F219" s="37" t="str">
        <x:v>Spring Boot</x:v>
      </x:c>
      <x:c r="G219" s="37" t="str">
        <x:v>単体テスト</x:v>
      </x:c>
      <x:c r="H219" s="37" t="str">
        <x:v>PG-01</x:v>
      </x:c>
      <x:c r="I219" s="37" t="str">
        <x:v>Project Leader</x:v>
      </x:c>
      <x:c r="J219" s="37" t="str">
        <x:v>WP-017-CD</x:v>
      </x:c>
      <x:c r="K219" s="37" t="n">
        <x:v>7</x:v>
      </x:c>
      <x:c r="L219" s="37" t="n">
        <x:v>1</x:v>
      </x:c>
      <x:c r="M219" s="37" t="n">
        <x:v>1</x:v>
      </x:c>
      <x:c r="N219" s="38" t="n">
        <x:v>46448</x:v>
      </x:c>
      <x:c r="O219" s="38" t="n">
        <x:v>46448</x:v>
      </x:c>
      <x:c r="P219" s="38"/>
      <x:c r="Q219" s="38"/>
      <x:c r="R219" s="37" t="str">
        <x:v>未着手</x:v>
      </x:c>
      <x:c r="S219" s="40" t="n">
        <x:f>IF(R219="完了",1,IF(R219="修正中",0.8,IF(R219="Review待ち",0.7,IF(R219="作業中",0.3,0))))</x:f>
        <x:v>0</x:v>
      </x:c>
      <x:c r="T219" s="37" t="str">
        <x:f>IF(AND(R219&lt;&gt;"完了",TODAY()&gt;O219),"遅延","")</x:f>
      </x:c>
      <x:c r="U219" s="37" t="str">
        <x:v>API-USR-001 単体テスト仕様書・証跡</x:v>
      </x:c>
      <x:c r="V219" s="37" t="str"/>
    </x:row>
    <x:row r="220">
      <x:c r="A220" s="37" t="str">
        <x:v>WP-018-UT</x:v>
      </x:c>
      <x:c r="B220" s="37" t="str">
        <x:v>WP-018</x:v>
      </x:c>
      <x:c r="C220" s="37" t="str">
        <x:v>API-USR-002</x:v>
      </x:c>
      <x:c r="D220" s="37" t="str">
        <x:v>ユーザー詳細</x:v>
      </x:c>
      <x:c r="E220" s="37" t="str">
        <x:v>API</x:v>
      </x:c>
      <x:c r="F220" s="37" t="str">
        <x:v>Spring Boot</x:v>
      </x:c>
      <x:c r="G220" s="37" t="str">
        <x:v>単体テスト</x:v>
      </x:c>
      <x:c r="H220" s="37" t="str">
        <x:v>PG-01</x:v>
      </x:c>
      <x:c r="I220" s="37" t="str">
        <x:v>Project Leader</x:v>
      </x:c>
      <x:c r="J220" s="37" t="str">
        <x:v>WP-018-CD</x:v>
      </x:c>
      <x:c r="K220" s="37" t="n">
        <x:v>7</x:v>
      </x:c>
      <x:c r="L220" s="37" t="n">
        <x:v>1</x:v>
      </x:c>
      <x:c r="M220" s="37" t="n">
        <x:v>1</x:v>
      </x:c>
      <x:c r="N220" s="38" t="n">
        <x:v>46449</x:v>
      </x:c>
      <x:c r="O220" s="38" t="n">
        <x:v>46449</x:v>
      </x:c>
      <x:c r="P220" s="38"/>
      <x:c r="Q220" s="38"/>
      <x:c r="R220" s="37" t="str">
        <x:v>未着手</x:v>
      </x:c>
      <x:c r="S220" s="40" t="n">
        <x:f>IF(R220="完了",1,IF(R220="修正中",0.8,IF(R220="Review待ち",0.7,IF(R220="作業中",0.3,0))))</x:f>
        <x:v>0</x:v>
      </x:c>
      <x:c r="T220" s="37" t="str">
        <x:f>IF(AND(R220&lt;&gt;"完了",TODAY()&gt;O220),"遅延","")</x:f>
      </x:c>
      <x:c r="U220" s="37" t="str">
        <x:v>API-USR-002 単体テスト仕様書・証跡</x:v>
      </x:c>
      <x:c r="V220" s="37" t="str"/>
    </x:row>
    <x:row r="221">
      <x:c r="A221" s="37" t="str">
        <x:v>WP-019-UT</x:v>
      </x:c>
      <x:c r="B221" s="37" t="str">
        <x:v>WP-019</x:v>
      </x:c>
      <x:c r="C221" s="37" t="str">
        <x:v>API-USR-003</x:v>
      </x:c>
      <x:c r="D221" s="37" t="str">
        <x:v>ユーザー状態・Role更新</x:v>
      </x:c>
      <x:c r="E221" s="37" t="str">
        <x:v>API</x:v>
      </x:c>
      <x:c r="F221" s="37" t="str">
        <x:v>Spring Boot</x:v>
      </x:c>
      <x:c r="G221" s="37" t="str">
        <x:v>単体テスト</x:v>
      </x:c>
      <x:c r="H221" s="37" t="str">
        <x:v>PG-01</x:v>
      </x:c>
      <x:c r="I221" s="37" t="str">
        <x:v>Project Leader</x:v>
      </x:c>
      <x:c r="J221" s="37" t="str">
        <x:v>WP-019-CD</x:v>
      </x:c>
      <x:c r="K221" s="37" t="n">
        <x:v>14</x:v>
      </x:c>
      <x:c r="L221" s="37" t="n">
        <x:v>1</x:v>
      </x:c>
      <x:c r="M221" s="37" t="n">
        <x:v>2</x:v>
      </x:c>
      <x:c r="N221" s="38" t="n">
        <x:v>46450</x:v>
      </x:c>
      <x:c r="O221" s="38" t="n">
        <x:v>46451</x:v>
      </x:c>
      <x:c r="P221" s="38"/>
      <x:c r="Q221" s="38"/>
      <x:c r="R221" s="37" t="str">
        <x:v>未着手</x:v>
      </x:c>
      <x:c r="S221" s="40" t="n">
        <x:f>IF(R221="完了",1,IF(R221="修正中",0.8,IF(R221="Review待ち",0.7,IF(R221="作業中",0.3,0))))</x:f>
        <x:v>0</x:v>
      </x:c>
      <x:c r="T221" s="37" t="str">
        <x:f>IF(AND(R221&lt;&gt;"完了",TODAY()&gt;O221),"遅延","")</x:f>
      </x:c>
      <x:c r="U221" s="37" t="str">
        <x:v>API-USR-003 単体テスト仕様書・証跡</x:v>
      </x:c>
      <x:c r="V221" s="37" t="str"/>
    </x:row>
    <x:row r="222">
      <x:c r="A222" s="37" t="str">
        <x:v>WP-020-UT</x:v>
      </x:c>
      <x:c r="B222" s="37" t="str">
        <x:v>WP-020</x:v>
      </x:c>
      <x:c r="C222" s="37" t="str">
        <x:v>API-USR-004</x:v>
      </x:c>
      <x:c r="D222" s="37" t="str">
        <x:v>パスワードリセット</x:v>
      </x:c>
      <x:c r="E222" s="37" t="str">
        <x:v>API</x:v>
      </x:c>
      <x:c r="F222" s="37" t="str">
        <x:v>Spring Boot</x:v>
      </x:c>
      <x:c r="G222" s="37" t="str">
        <x:v>単体テスト</x:v>
      </x:c>
      <x:c r="H222" s="37" t="str">
        <x:v>PG-01</x:v>
      </x:c>
      <x:c r="I222" s="37" t="str">
        <x:v>Project Leader</x:v>
      </x:c>
      <x:c r="J222" s="37" t="str">
        <x:v>WP-020-CD</x:v>
      </x:c>
      <x:c r="K222" s="37" t="n">
        <x:v>14</x:v>
      </x:c>
      <x:c r="L222" s="37" t="n">
        <x:v>1</x:v>
      </x:c>
      <x:c r="M222" s="37" t="n">
        <x:v>2</x:v>
      </x:c>
      <x:c r="N222" s="38" t="n">
        <x:v>46454</x:v>
      </x:c>
      <x:c r="O222" s="38" t="n">
        <x:v>46455</x:v>
      </x:c>
      <x:c r="P222" s="38"/>
      <x:c r="Q222" s="38"/>
      <x:c r="R222" s="37" t="str">
        <x:v>未着手</x:v>
      </x:c>
      <x:c r="S222" s="40" t="n">
        <x:f>IF(R222="完了",1,IF(R222="修正中",0.8,IF(R222="Review待ち",0.7,IF(R222="作業中",0.3,0))))</x:f>
        <x:v>0</x:v>
      </x:c>
      <x:c r="T222" s="37" t="str">
        <x:f>IF(AND(R222&lt;&gt;"完了",TODAY()&gt;O222),"遅延","")</x:f>
      </x:c>
      <x:c r="U222" s="37" t="str">
        <x:v>API-USR-004 単体テスト仕様書・証跡</x:v>
      </x:c>
      <x:c r="V222" s="37" t="str"/>
    </x:row>
    <x:row r="223">
      <x:c r="A223" s="37" t="str">
        <x:v>WP-069-UT</x:v>
      </x:c>
      <x:c r="B223" s="37" t="str">
        <x:v>WP-069</x:v>
      </x:c>
      <x:c r="C223" s="37" t="str">
        <x:v>SCR-001-VUE</x:v>
      </x:c>
      <x:c r="D223" s="37" t="str">
        <x:v>ログイン画面（Vue）</x:v>
      </x:c>
      <x:c r="E223" s="37" t="str">
        <x:v>画面</x:v>
      </x:c>
      <x:c r="F223" s="37" t="str">
        <x:v>Vue</x:v>
      </x:c>
      <x:c r="G223" s="37" t="str">
        <x:v>単体テスト</x:v>
      </x:c>
      <x:c r="H223" s="37" t="str">
        <x:v>PG-01</x:v>
      </x:c>
      <x:c r="I223" s="37" t="str">
        <x:v>Project Leader</x:v>
      </x:c>
      <x:c r="J223" s="37" t="str">
        <x:v>WP-069-CD</x:v>
      </x:c>
      <x:c r="K223" s="37" t="n">
        <x:v>7</x:v>
      </x:c>
      <x:c r="L223" s="37" t="n">
        <x:v>1</x:v>
      </x:c>
      <x:c r="M223" s="37" t="n">
        <x:v>1</x:v>
      </x:c>
      <x:c r="N223" s="38" t="n">
        <x:v>46456</x:v>
      </x:c>
      <x:c r="O223" s="38" t="n">
        <x:v>46456</x:v>
      </x:c>
      <x:c r="P223" s="38"/>
      <x:c r="Q223" s="38"/>
      <x:c r="R223" s="37" t="str">
        <x:v>未着手</x:v>
      </x:c>
      <x:c r="S223" s="40" t="n">
        <x:f>IF(R223="完了",1,IF(R223="修正中",0.8,IF(R223="Review待ち",0.7,IF(R223="作業中",0.3,0))))</x:f>
        <x:v>0</x:v>
      </x:c>
      <x:c r="T223" s="37" t="str">
        <x:f>IF(AND(R223&lt;&gt;"完了",TODAY()&gt;O223),"遅延","")</x:f>
      </x:c>
      <x:c r="U223" s="37" t="str">
        <x:v>SCR-001-VUE 単体テスト仕様書・証跡</x:v>
      </x:c>
      <x:c r="V223" s="37" t="str"/>
    </x:row>
    <x:row r="224">
      <x:c r="A224" s="37" t="str">
        <x:v>WP-070-UT</x:v>
      </x:c>
      <x:c r="B224" s="37" t="str">
        <x:v>WP-070</x:v>
      </x:c>
      <x:c r="C224" s="37" t="str">
        <x:v>SCR-002-VUE</x:v>
      </x:c>
      <x:c r="D224" s="37" t="str">
        <x:v>ホームダッシュボード画面（Vue）</x:v>
      </x:c>
      <x:c r="E224" s="37" t="str">
        <x:v>画面</x:v>
      </x:c>
      <x:c r="F224" s="37" t="str">
        <x:v>Vue</x:v>
      </x:c>
      <x:c r="G224" s="37" t="str">
        <x:v>単体テスト</x:v>
      </x:c>
      <x:c r="H224" s="37" t="str">
        <x:v>PG-01</x:v>
      </x:c>
      <x:c r="I224" s="37" t="str">
        <x:v>Project Leader</x:v>
      </x:c>
      <x:c r="J224" s="37" t="str">
        <x:v>WP-070-CD</x:v>
      </x:c>
      <x:c r="K224" s="37" t="n">
        <x:v>21</x:v>
      </x:c>
      <x:c r="L224" s="37" t="n">
        <x:v>1</x:v>
      </x:c>
      <x:c r="M224" s="37" t="n">
        <x:v>3</x:v>
      </x:c>
      <x:c r="N224" s="38" t="n">
        <x:v>46457</x:v>
      </x:c>
      <x:c r="O224" s="38" t="n">
        <x:v>46461</x:v>
      </x:c>
      <x:c r="P224" s="38"/>
      <x:c r="Q224" s="38"/>
      <x:c r="R224" s="37" t="str">
        <x:v>未着手</x:v>
      </x:c>
      <x:c r="S224" s="40" t="n">
        <x:f>IF(R224="完了",1,IF(R224="修正中",0.8,IF(R224="Review待ち",0.7,IF(R224="作業中",0.3,0))))</x:f>
        <x:v>0</x:v>
      </x:c>
      <x:c r="T224" s="37" t="str">
        <x:f>IF(AND(R224&lt;&gt;"完了",TODAY()&gt;O224),"遅延","")</x:f>
      </x:c>
      <x:c r="U224" s="37" t="str">
        <x:v>SCR-002-VUE 単体テスト仕様書・証跡</x:v>
      </x:c>
      <x:c r="V224" s="37" t="str"/>
    </x:row>
    <x:row r="225">
      <x:c r="A225" s="37" t="str">
        <x:v>WP-091-UT</x:v>
      </x:c>
      <x:c r="B225" s="37" t="str">
        <x:v>WP-091</x:v>
      </x:c>
      <x:c r="C225" s="37" t="str">
        <x:v>SCR-023-VUE</x:v>
      </x:c>
      <x:c r="D225" s="37" t="str">
        <x:v>ユーザー管理画面（Vue）</x:v>
      </x:c>
      <x:c r="E225" s="37" t="str">
        <x:v>画面</x:v>
      </x:c>
      <x:c r="F225" s="37" t="str">
        <x:v>Vue</x:v>
      </x:c>
      <x:c r="G225" s="37" t="str">
        <x:v>単体テスト</x:v>
      </x:c>
      <x:c r="H225" s="37" t="str">
        <x:v>PG-01</x:v>
      </x:c>
      <x:c r="I225" s="37" t="str">
        <x:v>Project Leader</x:v>
      </x:c>
      <x:c r="J225" s="37" t="str">
        <x:v>WP-091-CD</x:v>
      </x:c>
      <x:c r="K225" s="37" t="n">
        <x:v>21</x:v>
      </x:c>
      <x:c r="L225" s="37" t="n">
        <x:v>1</x:v>
      </x:c>
      <x:c r="M225" s="37" t="n">
        <x:v>3</x:v>
      </x:c>
      <x:c r="N225" s="38" t="n">
        <x:v>46462</x:v>
      </x:c>
      <x:c r="O225" s="38" t="n">
        <x:v>46464</x:v>
      </x:c>
      <x:c r="P225" s="38"/>
      <x:c r="Q225" s="38"/>
      <x:c r="R225" s="37" t="str">
        <x:v>未着手</x:v>
      </x:c>
      <x:c r="S225" s="40" t="n">
        <x:f>IF(R225="完了",1,IF(R225="修正中",0.8,IF(R225="Review待ち",0.7,IF(R225="作業中",0.3,0))))</x:f>
        <x:v>0</x:v>
      </x:c>
      <x:c r="T225" s="37" t="str">
        <x:f>IF(AND(R225&lt;&gt;"完了",TODAY()&gt;O225),"遅延","")</x:f>
      </x:c>
      <x:c r="U225" s="37" t="str">
        <x:v>SCR-023-VUE 単体テスト仕様書・証跡</x:v>
      </x:c>
      <x:c r="V225" s="37" t="str"/>
    </x:row>
    <x:row r="226">
      <x:c r="A226" s="37" t="str">
        <x:v>WP-093-UT</x:v>
      </x:c>
      <x:c r="B226" s="37" t="str">
        <x:v>WP-093</x:v>
      </x:c>
      <x:c r="C226" s="37" t="str">
        <x:v>SCR-025-VUE</x:v>
      </x:c>
      <x:c r="D226" s="37" t="str">
        <x:v>操作ログ画面（Vue）</x:v>
      </x:c>
      <x:c r="E226" s="37" t="str">
        <x:v>画面</x:v>
      </x:c>
      <x:c r="F226" s="37" t="str">
        <x:v>Vue</x:v>
      </x:c>
      <x:c r="G226" s="37" t="str">
        <x:v>単体テスト</x:v>
      </x:c>
      <x:c r="H226" s="37" t="str">
        <x:v>PG-01</x:v>
      </x:c>
      <x:c r="I226" s="37" t="str">
        <x:v>Project Leader</x:v>
      </x:c>
      <x:c r="J226" s="37" t="str">
        <x:v>WP-093-CD</x:v>
      </x:c>
      <x:c r="K226" s="37" t="n">
        <x:v>7</x:v>
      </x:c>
      <x:c r="L226" s="37" t="n">
        <x:v>1</x:v>
      </x:c>
      <x:c r="M226" s="37" t="n">
        <x:v>1</x:v>
      </x:c>
      <x:c r="N226" s="38" t="n">
        <x:v>46465</x:v>
      </x:c>
      <x:c r="O226" s="38" t="n">
        <x:v>46465</x:v>
      </x:c>
      <x:c r="P226" s="38"/>
      <x:c r="Q226" s="38"/>
      <x:c r="R226" s="37" t="str">
        <x:v>未着手</x:v>
      </x:c>
      <x:c r="S226" s="40" t="n">
        <x:f>IF(R226="完了",1,IF(R226="修正中",0.8,IF(R226="Review待ち",0.7,IF(R226="作業中",0.3,0))))</x:f>
        <x:v>0</x:v>
      </x:c>
      <x:c r="T226" s="37" t="str">
        <x:f>IF(AND(R226&lt;&gt;"完了",TODAY()&gt;O226),"遅延","")</x:f>
      </x:c>
      <x:c r="U226" s="37" t="str">
        <x:v>SCR-025-VUE 単体テスト仕様書・証跡</x:v>
      </x:c>
      <x:c r="V226" s="37" t="str"/>
    </x:row>
    <x:row r="227">
      <x:c r="A227" s="37" t="str">
        <x:v>WP-094-UT</x:v>
      </x:c>
      <x:c r="B227" s="37" t="str">
        <x:v>WP-094</x:v>
      </x:c>
      <x:c r="C227" s="37" t="str">
        <x:v>SCR-026-VUE</x:v>
      </x:c>
      <x:c r="D227" s="37" t="str">
        <x:v>パスワード変更画面（Vue）</x:v>
      </x:c>
      <x:c r="E227" s="37" t="str">
        <x:v>画面</x:v>
      </x:c>
      <x:c r="F227" s="37" t="str">
        <x:v>Vue</x:v>
      </x:c>
      <x:c r="G227" s="37" t="str">
        <x:v>単体テスト</x:v>
      </x:c>
      <x:c r="H227" s="37" t="str">
        <x:v>PG-01</x:v>
      </x:c>
      <x:c r="I227" s="37" t="str">
        <x:v>Project Leader</x:v>
      </x:c>
      <x:c r="J227" s="37" t="str">
        <x:v>WP-094-CD</x:v>
      </x:c>
      <x:c r="K227" s="37" t="n">
        <x:v>14</x:v>
      </x:c>
      <x:c r="L227" s="37" t="n">
        <x:v>1</x:v>
      </x:c>
      <x:c r="M227" s="37" t="n">
        <x:v>2</x:v>
      </x:c>
      <x:c r="N227" s="38" t="n">
        <x:v>46469</x:v>
      </x:c>
      <x:c r="O227" s="38" t="n">
        <x:v>46470</x:v>
      </x:c>
      <x:c r="P227" s="38"/>
      <x:c r="Q227" s="38"/>
      <x:c r="R227" s="37" t="str">
        <x:v>未着手</x:v>
      </x:c>
      <x:c r="S227" s="40" t="n">
        <x:f>IF(R227="完了",1,IF(R227="修正中",0.8,IF(R227="Review待ち",0.7,IF(R227="作業中",0.3,0))))</x:f>
        <x:v>0</x:v>
      </x:c>
      <x:c r="T227" s="37" t="str">
        <x:f>IF(AND(R227&lt;&gt;"完了",TODAY()&gt;O227),"遅延","")</x:f>
      </x:c>
      <x:c r="U227" s="37" t="str">
        <x:v>SCR-026-VUE 単体テスト仕様書・証跡</x:v>
      </x:c>
      <x:c r="V227" s="37" t="str"/>
    </x:row>
    <x:row r="228">
      <x:c r="A228" s="37" t="str">
        <x:v>WP-003-UT</x:v>
      </x:c>
      <x:c r="B228" s="37" t="str">
        <x:v>WP-003</x:v>
      </x:c>
      <x:c r="C228" s="37" t="str">
        <x:v>COM-VUE-001</x:v>
      </x:c>
      <x:c r="D228" s="37" t="str">
        <x:v>Vue共通基盤</x:v>
      </x:c>
      <x:c r="E228" s="37" t="str">
        <x:v>共通</x:v>
      </x:c>
      <x:c r="F228" s="37" t="str">
        <x:v>Backend/共通</x:v>
      </x:c>
      <x:c r="G228" s="37" t="str">
        <x:v>単体テスト</x:v>
      </x:c>
      <x:c r="H228" s="37" t="str">
        <x:v>PG-02</x:v>
      </x:c>
      <x:c r="I228" s="37" t="str">
        <x:v>Project Leader</x:v>
      </x:c>
      <x:c r="J228" s="37" t="str">
        <x:v>WP-003-CD</x:v>
      </x:c>
      <x:c r="K228" s="37" t="n">
        <x:v>14</x:v>
      </x:c>
      <x:c r="L228" s="37" t="n">
        <x:v>1</x:v>
      </x:c>
      <x:c r="M228" s="37" t="n">
        <x:v>2</x:v>
      </x:c>
      <x:c r="N228" s="38" t="n">
        <x:v>46413</x:v>
      </x:c>
      <x:c r="O228" s="38" t="n">
        <x:v>46414</x:v>
      </x:c>
      <x:c r="P228" s="38"/>
      <x:c r="Q228" s="38"/>
      <x:c r="R228" s="37" t="str">
        <x:v>未着手</x:v>
      </x:c>
      <x:c r="S228" s="40" t="n">
        <x:f>IF(R228="完了",1,IF(R228="修正中",0.8,IF(R228="Review待ち",0.7,IF(R228="作業中",0.3,0))))</x:f>
        <x:v>0</x:v>
      </x:c>
      <x:c r="T228" s="37" t="str">
        <x:f>IF(AND(R228&lt;&gt;"完了",TODAY()&gt;O228),"遅延","")</x:f>
      </x:c>
      <x:c r="U228" s="37" t="str">
        <x:v>COM-VUE-001 単体テスト仕様書・証跡</x:v>
      </x:c>
      <x:c r="V228" s="37" t="str"/>
    </x:row>
    <x:row r="229">
      <x:c r="A229" s="37" t="str">
        <x:v>WP-028-UT</x:v>
      </x:c>
      <x:c r="B229" s="37" t="str">
        <x:v>WP-028</x:v>
      </x:c>
      <x:c r="C229" s="37" t="str">
        <x:v>API-EMP-001</x:v>
      </x:c>
      <x:c r="D229" s="37" t="str">
        <x:v>従業員ページ検索</x:v>
      </x:c>
      <x:c r="E229" s="37" t="str">
        <x:v>API</x:v>
      </x:c>
      <x:c r="F229" s="37" t="str">
        <x:v>Spring Boot</x:v>
      </x:c>
      <x:c r="G229" s="37" t="str">
        <x:v>単体テスト</x:v>
      </x:c>
      <x:c r="H229" s="37" t="str">
        <x:v>PG-02</x:v>
      </x:c>
      <x:c r="I229" s="37" t="str">
        <x:v>Project Leader</x:v>
      </x:c>
      <x:c r="J229" s="37" t="str">
        <x:v>WP-028-CD</x:v>
      </x:c>
      <x:c r="K229" s="37" t="n">
        <x:v>7</x:v>
      </x:c>
      <x:c r="L229" s="37" t="n">
        <x:v>1</x:v>
      </x:c>
      <x:c r="M229" s="37" t="n">
        <x:v>1</x:v>
      </x:c>
      <x:c r="N229" s="38" t="n">
        <x:v>46415</x:v>
      </x:c>
      <x:c r="O229" s="38" t="n">
        <x:v>46415</x:v>
      </x:c>
      <x:c r="P229" s="38"/>
      <x:c r="Q229" s="38"/>
      <x:c r="R229" s="37" t="str">
        <x:v>未着手</x:v>
      </x:c>
      <x:c r="S229" s="40" t="n">
        <x:f>IF(R229="完了",1,IF(R229="修正中",0.8,IF(R229="Review待ち",0.7,IF(R229="作業中",0.3,0))))</x:f>
        <x:v>0</x:v>
      </x:c>
      <x:c r="T229" s="37" t="str">
        <x:f>IF(AND(R229&lt;&gt;"完了",TODAY()&gt;O229),"遅延","")</x:f>
      </x:c>
      <x:c r="U229" s="37" t="str">
        <x:v>API-EMP-001 単体テスト仕様書・証跡</x:v>
      </x:c>
      <x:c r="V229" s="37" t="str"/>
    </x:row>
    <x:row r="230">
      <x:c r="A230" s="37" t="str">
        <x:v>WP-029-UT</x:v>
      </x:c>
      <x:c r="B230" s="37" t="str">
        <x:v>WP-029</x:v>
      </x:c>
      <x:c r="C230" s="37" t="str">
        <x:v>API-EMP-002</x:v>
      </x:c>
      <x:c r="D230" s="37" t="str">
        <x:v>従業員詳細</x:v>
      </x:c>
      <x:c r="E230" s="37" t="str">
        <x:v>API</x:v>
      </x:c>
      <x:c r="F230" s="37" t="str">
        <x:v>Spring Boot</x:v>
      </x:c>
      <x:c r="G230" s="37" t="str">
        <x:v>単体テスト</x:v>
      </x:c>
      <x:c r="H230" s="37" t="str">
        <x:v>PG-02</x:v>
      </x:c>
      <x:c r="I230" s="37" t="str">
        <x:v>Project Leader</x:v>
      </x:c>
      <x:c r="J230" s="37" t="str">
        <x:v>WP-029-CD</x:v>
      </x:c>
      <x:c r="K230" s="37" t="n">
        <x:v>7</x:v>
      </x:c>
      <x:c r="L230" s="37" t="n">
        <x:v>1</x:v>
      </x:c>
      <x:c r="M230" s="37" t="n">
        <x:v>1</x:v>
      </x:c>
      <x:c r="N230" s="38" t="n">
        <x:v>46416</x:v>
      </x:c>
      <x:c r="O230" s="38" t="n">
        <x:v>46416</x:v>
      </x:c>
      <x:c r="P230" s="38"/>
      <x:c r="Q230" s="38"/>
      <x:c r="R230" s="37" t="str">
        <x:v>未着手</x:v>
      </x:c>
      <x:c r="S230" s="40" t="n">
        <x:f>IF(R230="完了",1,IF(R230="修正中",0.8,IF(R230="Review待ち",0.7,IF(R230="作業中",0.3,0))))</x:f>
        <x:v>0</x:v>
      </x:c>
      <x:c r="T230" s="37" t="str">
        <x:f>IF(AND(R230&lt;&gt;"完了",TODAY()&gt;O230),"遅延","")</x:f>
      </x:c>
      <x:c r="U230" s="37" t="str">
        <x:v>API-EMP-002 単体テスト仕様書・証跡</x:v>
      </x:c>
      <x:c r="V230" s="37" t="str"/>
    </x:row>
    <x:row r="231">
      <x:c r="A231" s="37" t="str">
        <x:v>WP-030-UT</x:v>
      </x:c>
      <x:c r="B231" s="37" t="str">
        <x:v>WP-030</x:v>
      </x:c>
      <x:c r="C231" s="37" t="str">
        <x:v>API-EMP-003</x:v>
      </x:c>
      <x:c r="D231" s="37" t="str">
        <x:v>従業員登録</x:v>
      </x:c>
      <x:c r="E231" s="37" t="str">
        <x:v>API</x:v>
      </x:c>
      <x:c r="F231" s="37" t="str">
        <x:v>Spring Boot</x:v>
      </x:c>
      <x:c r="G231" s="37" t="str">
        <x:v>単体テスト</x:v>
      </x:c>
      <x:c r="H231" s="37" t="str">
        <x:v>PG-02</x:v>
      </x:c>
      <x:c r="I231" s="37" t="str">
        <x:v>Project Leader</x:v>
      </x:c>
      <x:c r="J231" s="37" t="str">
        <x:v>WP-030-CD</x:v>
      </x:c>
      <x:c r="K231" s="37" t="n">
        <x:v>14</x:v>
      </x:c>
      <x:c r="L231" s="37" t="n">
        <x:v>1</x:v>
      </x:c>
      <x:c r="M231" s="37" t="n">
        <x:v>2</x:v>
      </x:c>
      <x:c r="N231" s="38" t="n">
        <x:v>46419</x:v>
      </x:c>
      <x:c r="O231" s="38" t="n">
        <x:v>46420</x:v>
      </x:c>
      <x:c r="P231" s="38"/>
      <x:c r="Q231" s="38"/>
      <x:c r="R231" s="37" t="str">
        <x:v>未着手</x:v>
      </x:c>
      <x:c r="S231" s="40" t="n">
        <x:f>IF(R231="完了",1,IF(R231="修正中",0.8,IF(R231="Review待ち",0.7,IF(R231="作業中",0.3,0))))</x:f>
        <x:v>0</x:v>
      </x:c>
      <x:c r="T231" s="37" t="str">
        <x:f>IF(AND(R231&lt;&gt;"完了",TODAY()&gt;O231),"遅延","")</x:f>
      </x:c>
      <x:c r="U231" s="37" t="str">
        <x:v>API-EMP-003 単体テスト仕様書・証跡</x:v>
      </x:c>
      <x:c r="V231" s="37" t="str"/>
    </x:row>
    <x:row r="232">
      <x:c r="A232" s="37" t="str">
        <x:v>WP-031-UT</x:v>
      </x:c>
      <x:c r="B232" s="37" t="str">
        <x:v>WP-031</x:v>
      </x:c>
      <x:c r="C232" s="37" t="str">
        <x:v>API-EMP-004</x:v>
      </x:c>
      <x:c r="D232" s="37" t="str">
        <x:v>従業員更新</x:v>
      </x:c>
      <x:c r="E232" s="37" t="str">
        <x:v>API</x:v>
      </x:c>
      <x:c r="F232" s="37" t="str">
        <x:v>Spring Boot</x:v>
      </x:c>
      <x:c r="G232" s="37" t="str">
        <x:v>単体テスト</x:v>
      </x:c>
      <x:c r="H232" s="37" t="str">
        <x:v>PG-02</x:v>
      </x:c>
      <x:c r="I232" s="37" t="str">
        <x:v>Project Leader</x:v>
      </x:c>
      <x:c r="J232" s="37" t="str">
        <x:v>WP-031-CD</x:v>
      </x:c>
      <x:c r="K232" s="37" t="n">
        <x:v>14</x:v>
      </x:c>
      <x:c r="L232" s="37" t="n">
        <x:v>1</x:v>
      </x:c>
      <x:c r="M232" s="37" t="n">
        <x:v>2</x:v>
      </x:c>
      <x:c r="N232" s="38" t="n">
        <x:v>46421</x:v>
      </x:c>
      <x:c r="O232" s="38" t="n">
        <x:v>46422</x:v>
      </x:c>
      <x:c r="P232" s="38"/>
      <x:c r="Q232" s="38"/>
      <x:c r="R232" s="37" t="str">
        <x:v>未着手</x:v>
      </x:c>
      <x:c r="S232" s="40" t="n">
        <x:f>IF(R232="完了",1,IF(R232="修正中",0.8,IF(R232="Review待ち",0.7,IF(R232="作業中",0.3,0))))</x:f>
        <x:v>0</x:v>
      </x:c>
      <x:c r="T232" s="37" t="str">
        <x:f>IF(AND(R232&lt;&gt;"完了",TODAY()&gt;O232),"遅延","")</x:f>
      </x:c>
      <x:c r="U232" s="37" t="str">
        <x:v>API-EMP-004 単体テスト仕様書・証跡</x:v>
      </x:c>
      <x:c r="V232" s="37" t="str"/>
    </x:row>
    <x:row r="233">
      <x:c r="A233" s="37" t="str">
        <x:v>WP-032-UT</x:v>
      </x:c>
      <x:c r="B233" s="37" t="str">
        <x:v>WP-032</x:v>
      </x:c>
      <x:c r="C233" s="37" t="str">
        <x:v>API-EMP-005</x:v>
      </x:c>
      <x:c r="D233" s="37" t="str">
        <x:v>従業員状態変更</x:v>
      </x:c>
      <x:c r="E233" s="37" t="str">
        <x:v>API</x:v>
      </x:c>
      <x:c r="F233" s="37" t="str">
        <x:v>Spring Boot</x:v>
      </x:c>
      <x:c r="G233" s="37" t="str">
        <x:v>単体テスト</x:v>
      </x:c>
      <x:c r="H233" s="37" t="str">
        <x:v>PG-02</x:v>
      </x:c>
      <x:c r="I233" s="37" t="str">
        <x:v>Project Leader</x:v>
      </x:c>
      <x:c r="J233" s="37" t="str">
        <x:v>WP-032-CD</x:v>
      </x:c>
      <x:c r="K233" s="37" t="n">
        <x:v>14</x:v>
      </x:c>
      <x:c r="L233" s="37" t="n">
        <x:v>1</x:v>
      </x:c>
      <x:c r="M233" s="37" t="n">
        <x:v>2</x:v>
      </x:c>
      <x:c r="N233" s="38" t="n">
        <x:v>46423</x:v>
      </x:c>
      <x:c r="O233" s="38" t="n">
        <x:v>46426</x:v>
      </x:c>
      <x:c r="P233" s="38"/>
      <x:c r="Q233" s="38"/>
      <x:c r="R233" s="37" t="str">
        <x:v>未着手</x:v>
      </x:c>
      <x:c r="S233" s="40" t="n">
        <x:f>IF(R233="完了",1,IF(R233="修正中",0.8,IF(R233="Review待ち",0.7,IF(R233="作業中",0.3,0))))</x:f>
        <x:v>0</x:v>
      </x:c>
      <x:c r="T233" s="37" t="str">
        <x:f>IF(AND(R233&lt;&gt;"完了",TODAY()&gt;O233),"遅延","")</x:f>
      </x:c>
      <x:c r="U233" s="37" t="str">
        <x:v>API-EMP-005 単体テスト仕様書・証跡</x:v>
      </x:c>
      <x:c r="V233" s="37" t="str"/>
    </x:row>
    <x:row r="234">
      <x:c r="A234" s="37" t="str">
        <x:v>WP-033-UT</x:v>
      </x:c>
      <x:c r="B234" s="37" t="str">
        <x:v>WP-033</x:v>
      </x:c>
      <x:c r="C234" s="37" t="str">
        <x:v>API-EMP-006</x:v>
      </x:c>
      <x:c r="D234" s="37" t="str">
        <x:v>従業員Excel取込</x:v>
      </x:c>
      <x:c r="E234" s="37" t="str">
        <x:v>API</x:v>
      </x:c>
      <x:c r="F234" s="37" t="str">
        <x:v>Spring Boot</x:v>
      </x:c>
      <x:c r="G234" s="37" t="str">
        <x:v>単体テスト</x:v>
      </x:c>
      <x:c r="H234" s="37" t="str">
        <x:v>PG-02</x:v>
      </x:c>
      <x:c r="I234" s="37" t="str">
        <x:v>Project Leader</x:v>
      </x:c>
      <x:c r="J234" s="37" t="str">
        <x:v>WP-033-CD</x:v>
      </x:c>
      <x:c r="K234" s="37" t="n">
        <x:v>21</x:v>
      </x:c>
      <x:c r="L234" s="37" t="n">
        <x:v>1</x:v>
      </x:c>
      <x:c r="M234" s="37" t="n">
        <x:v>3</x:v>
      </x:c>
      <x:c r="N234" s="38" t="n">
        <x:v>46427</x:v>
      </x:c>
      <x:c r="O234" s="38" t="n">
        <x:v>46430</x:v>
      </x:c>
      <x:c r="P234" s="38"/>
      <x:c r="Q234" s="38"/>
      <x:c r="R234" s="37" t="str">
        <x:v>未着手</x:v>
      </x:c>
      <x:c r="S234" s="40" t="n">
        <x:f>IF(R234="完了",1,IF(R234="修正中",0.8,IF(R234="Review待ち",0.7,IF(R234="作業中",0.3,0))))</x:f>
        <x:v>0</x:v>
      </x:c>
      <x:c r="T234" s="37" t="str">
        <x:f>IF(AND(R234&lt;&gt;"完了",TODAY()&gt;O234),"遅延","")</x:f>
      </x:c>
      <x:c r="U234" s="37" t="str">
        <x:v>API-EMP-006 単体テスト仕様書・証跡</x:v>
      </x:c>
      <x:c r="V234" s="37" t="str"/>
    </x:row>
    <x:row r="235">
      <x:c r="A235" s="37" t="str">
        <x:v>WP-034-UT</x:v>
      </x:c>
      <x:c r="B235" s="37" t="str">
        <x:v>WP-034</x:v>
      </x:c>
      <x:c r="C235" s="37" t="str">
        <x:v>API-EMP-007</x:v>
      </x:c>
      <x:c r="D235" s="37" t="str">
        <x:v>従業員Excel出力</x:v>
      </x:c>
      <x:c r="E235" s="37" t="str">
        <x:v>API</x:v>
      </x:c>
      <x:c r="F235" s="37" t="str">
        <x:v>Spring Boot</x:v>
      </x:c>
      <x:c r="G235" s="37" t="str">
        <x:v>単体テスト</x:v>
      </x:c>
      <x:c r="H235" s="37" t="str">
        <x:v>PG-02</x:v>
      </x:c>
      <x:c r="I235" s="37" t="str">
        <x:v>Project Leader</x:v>
      </x:c>
      <x:c r="J235" s="37" t="str">
        <x:v>WP-034-CD</x:v>
      </x:c>
      <x:c r="K235" s="37" t="n">
        <x:v>21</x:v>
      </x:c>
      <x:c r="L235" s="37" t="n">
        <x:v>1</x:v>
      </x:c>
      <x:c r="M235" s="37" t="n">
        <x:v>3</x:v>
      </x:c>
      <x:c r="N235" s="38" t="n">
        <x:v>46433</x:v>
      </x:c>
      <x:c r="O235" s="38" t="n">
        <x:v>46435</x:v>
      </x:c>
      <x:c r="P235" s="38"/>
      <x:c r="Q235" s="38"/>
      <x:c r="R235" s="37" t="str">
        <x:v>未着手</x:v>
      </x:c>
      <x:c r="S235" s="40" t="n">
        <x:f>IF(R235="完了",1,IF(R235="修正中",0.8,IF(R235="Review待ち",0.7,IF(R235="作業中",0.3,0))))</x:f>
        <x:v>0</x:v>
      </x:c>
      <x:c r="T235" s="37" t="str">
        <x:f>IF(AND(R235&lt;&gt;"完了",TODAY()&gt;O235),"遅延","")</x:f>
      </x:c>
      <x:c r="U235" s="37" t="str">
        <x:v>API-EMP-007 単体テスト仕様書・証跡</x:v>
      </x:c>
      <x:c r="V235" s="37" t="str"/>
    </x:row>
    <x:row r="236">
      <x:c r="A236" s="37" t="str">
        <x:v>WP-035-UT</x:v>
      </x:c>
      <x:c r="B236" s="37" t="str">
        <x:v>WP-035</x:v>
      </x:c>
      <x:c r="C236" s="37" t="str">
        <x:v>API-DEPT-001</x:v>
      </x:c>
      <x:c r="D236" s="37" t="str">
        <x:v>部門Tree取得</x:v>
      </x:c>
      <x:c r="E236" s="37" t="str">
        <x:v>API</x:v>
      </x:c>
      <x:c r="F236" s="37" t="str">
        <x:v>Spring Boot</x:v>
      </x:c>
      <x:c r="G236" s="37" t="str">
        <x:v>単体テスト</x:v>
      </x:c>
      <x:c r="H236" s="37" t="str">
        <x:v>PG-02</x:v>
      </x:c>
      <x:c r="I236" s="37" t="str">
        <x:v>Project Leader</x:v>
      </x:c>
      <x:c r="J236" s="37" t="str">
        <x:v>WP-035-CD</x:v>
      </x:c>
      <x:c r="K236" s="37" t="n">
        <x:v>7</x:v>
      </x:c>
      <x:c r="L236" s="37" t="n">
        <x:v>1</x:v>
      </x:c>
      <x:c r="M236" s="37" t="n">
        <x:v>1</x:v>
      </x:c>
      <x:c r="N236" s="38" t="n">
        <x:v>46436</x:v>
      </x:c>
      <x:c r="O236" s="38" t="n">
        <x:v>46436</x:v>
      </x:c>
      <x:c r="P236" s="38"/>
      <x:c r="Q236" s="38"/>
      <x:c r="R236" s="37" t="str">
        <x:v>未着手</x:v>
      </x:c>
      <x:c r="S236" s="40" t="n">
        <x:f>IF(R236="完了",1,IF(R236="修正中",0.8,IF(R236="Review待ち",0.7,IF(R236="作業中",0.3,0))))</x:f>
        <x:v>0</x:v>
      </x:c>
      <x:c r="T236" s="37" t="str">
        <x:f>IF(AND(R236&lt;&gt;"完了",TODAY()&gt;O236),"遅延","")</x:f>
      </x:c>
      <x:c r="U236" s="37" t="str">
        <x:v>API-DEPT-001 単体テスト仕様書・証跡</x:v>
      </x:c>
      <x:c r="V236" s="37" t="str"/>
    </x:row>
    <x:row r="237">
      <x:c r="A237" s="37" t="str">
        <x:v>WP-036-UT</x:v>
      </x:c>
      <x:c r="B237" s="37" t="str">
        <x:v>WP-036</x:v>
      </x:c>
      <x:c r="C237" s="37" t="str">
        <x:v>API-DEPT-002</x:v>
      </x:c>
      <x:c r="D237" s="37" t="str">
        <x:v>部門詳細</x:v>
      </x:c>
      <x:c r="E237" s="37" t="str">
        <x:v>API</x:v>
      </x:c>
      <x:c r="F237" s="37" t="str">
        <x:v>Spring Boot</x:v>
      </x:c>
      <x:c r="G237" s="37" t="str">
        <x:v>単体テスト</x:v>
      </x:c>
      <x:c r="H237" s="37" t="str">
        <x:v>PG-02</x:v>
      </x:c>
      <x:c r="I237" s="37" t="str">
        <x:v>Project Leader</x:v>
      </x:c>
      <x:c r="J237" s="37" t="str">
        <x:v>WP-036-CD</x:v>
      </x:c>
      <x:c r="K237" s="37" t="n">
        <x:v>7</x:v>
      </x:c>
      <x:c r="L237" s="37" t="n">
        <x:v>1</x:v>
      </x:c>
      <x:c r="M237" s="37" t="n">
        <x:v>1</x:v>
      </x:c>
      <x:c r="N237" s="38" t="n">
        <x:v>46437</x:v>
      </x:c>
      <x:c r="O237" s="38" t="n">
        <x:v>46437</x:v>
      </x:c>
      <x:c r="P237" s="38"/>
      <x:c r="Q237" s="38"/>
      <x:c r="R237" s="37" t="str">
        <x:v>未着手</x:v>
      </x:c>
      <x:c r="S237" s="40" t="n">
        <x:f>IF(R237="完了",1,IF(R237="修正中",0.8,IF(R237="Review待ち",0.7,IF(R237="作業中",0.3,0))))</x:f>
        <x:v>0</x:v>
      </x:c>
      <x:c r="T237" s="37" t="str">
        <x:f>IF(AND(R237&lt;&gt;"完了",TODAY()&gt;O237),"遅延","")</x:f>
      </x:c>
      <x:c r="U237" s="37" t="str">
        <x:v>API-DEPT-002 単体テスト仕様書・証跡</x:v>
      </x:c>
      <x:c r="V237" s="37" t="str"/>
    </x:row>
    <x:row r="238">
      <x:c r="A238" s="37" t="str">
        <x:v>WP-037-UT</x:v>
      </x:c>
      <x:c r="B238" s="37" t="str">
        <x:v>WP-037</x:v>
      </x:c>
      <x:c r="C238" s="37" t="str">
        <x:v>API-DEPT-003</x:v>
      </x:c>
      <x:c r="D238" s="37" t="str">
        <x:v>部門登録</x:v>
      </x:c>
      <x:c r="E238" s="37" t="str">
        <x:v>API</x:v>
      </x:c>
      <x:c r="F238" s="37" t="str">
        <x:v>Spring Boot</x:v>
      </x:c>
      <x:c r="G238" s="37" t="str">
        <x:v>単体テスト</x:v>
      </x:c>
      <x:c r="H238" s="37" t="str">
        <x:v>PG-02</x:v>
      </x:c>
      <x:c r="I238" s="37" t="str">
        <x:v>Project Leader</x:v>
      </x:c>
      <x:c r="J238" s="37" t="str">
        <x:v>WP-037-CD</x:v>
      </x:c>
      <x:c r="K238" s="37" t="n">
        <x:v>14</x:v>
      </x:c>
      <x:c r="L238" s="37" t="n">
        <x:v>1</x:v>
      </x:c>
      <x:c r="M238" s="37" t="n">
        <x:v>2</x:v>
      </x:c>
      <x:c r="N238" s="38" t="n">
        <x:v>46440</x:v>
      </x:c>
      <x:c r="O238" s="38" t="n">
        <x:v>46442</x:v>
      </x:c>
      <x:c r="P238" s="38"/>
      <x:c r="Q238" s="38"/>
      <x:c r="R238" s="37" t="str">
        <x:v>未着手</x:v>
      </x:c>
      <x:c r="S238" s="40" t="n">
        <x:f>IF(R238="完了",1,IF(R238="修正中",0.8,IF(R238="Review待ち",0.7,IF(R238="作業中",0.3,0))))</x:f>
        <x:v>0</x:v>
      </x:c>
      <x:c r="T238" s="37" t="str">
        <x:f>IF(AND(R238&lt;&gt;"完了",TODAY()&gt;O238),"遅延","")</x:f>
      </x:c>
      <x:c r="U238" s="37" t="str">
        <x:v>API-DEPT-003 単体テスト仕様書・証跡</x:v>
      </x:c>
      <x:c r="V238" s="37" t="str"/>
    </x:row>
    <x:row r="239">
      <x:c r="A239" s="37" t="str">
        <x:v>WP-038-UT</x:v>
      </x:c>
      <x:c r="B239" s="37" t="str">
        <x:v>WP-038</x:v>
      </x:c>
      <x:c r="C239" s="37" t="str">
        <x:v>API-DEPT-004</x:v>
      </x:c>
      <x:c r="D239" s="37" t="str">
        <x:v>部門更新</x:v>
      </x:c>
      <x:c r="E239" s="37" t="str">
        <x:v>API</x:v>
      </x:c>
      <x:c r="F239" s="37" t="str">
        <x:v>Spring Boot</x:v>
      </x:c>
      <x:c r="G239" s="37" t="str">
        <x:v>単体テスト</x:v>
      </x:c>
      <x:c r="H239" s="37" t="str">
        <x:v>PG-02</x:v>
      </x:c>
      <x:c r="I239" s="37" t="str">
        <x:v>Project Leader</x:v>
      </x:c>
      <x:c r="J239" s="37" t="str">
        <x:v>WP-038-CD</x:v>
      </x:c>
      <x:c r="K239" s="37" t="n">
        <x:v>14</x:v>
      </x:c>
      <x:c r="L239" s="37" t="n">
        <x:v>1</x:v>
      </x:c>
      <x:c r="M239" s="37" t="n">
        <x:v>2</x:v>
      </x:c>
      <x:c r="N239" s="38" t="n">
        <x:v>46443</x:v>
      </x:c>
      <x:c r="O239" s="38" t="n">
        <x:v>46444</x:v>
      </x:c>
      <x:c r="P239" s="38"/>
      <x:c r="Q239" s="38"/>
      <x:c r="R239" s="37" t="str">
        <x:v>未着手</x:v>
      </x:c>
      <x:c r="S239" s="40" t="n">
        <x:f>IF(R239="完了",1,IF(R239="修正中",0.8,IF(R239="Review待ち",0.7,IF(R239="作業中",0.3,0))))</x:f>
        <x:v>0</x:v>
      </x:c>
      <x:c r="T239" s="37" t="str">
        <x:f>IF(AND(R239&lt;&gt;"完了",TODAY()&gt;O239),"遅延","")</x:f>
      </x:c>
      <x:c r="U239" s="37" t="str">
        <x:v>API-DEPT-004 単体テスト仕様書・証跡</x:v>
      </x:c>
      <x:c r="V239" s="37" t="str"/>
    </x:row>
    <x:row r="240">
      <x:c r="A240" s="37" t="str">
        <x:v>WP-039-UT</x:v>
      </x:c>
      <x:c r="B240" s="37" t="str">
        <x:v>WP-039</x:v>
      </x:c>
      <x:c r="C240" s="37" t="str">
        <x:v>API-DEPT-005</x:v>
      </x:c>
      <x:c r="D240" s="37" t="str">
        <x:v>部門削除</x:v>
      </x:c>
      <x:c r="E240" s="37" t="str">
        <x:v>API</x:v>
      </x:c>
      <x:c r="F240" s="37" t="str">
        <x:v>Spring Boot</x:v>
      </x:c>
      <x:c r="G240" s="37" t="str">
        <x:v>単体テスト</x:v>
      </x:c>
      <x:c r="H240" s="37" t="str">
        <x:v>PG-02</x:v>
      </x:c>
      <x:c r="I240" s="37" t="str">
        <x:v>Project Leader</x:v>
      </x:c>
      <x:c r="J240" s="37" t="str">
        <x:v>WP-039-CD</x:v>
      </x:c>
      <x:c r="K240" s="37" t="n">
        <x:v>14</x:v>
      </x:c>
      <x:c r="L240" s="37" t="n">
        <x:v>1</x:v>
      </x:c>
      <x:c r="M240" s="37" t="n">
        <x:v>2</x:v>
      </x:c>
      <x:c r="N240" s="38" t="n">
        <x:v>46447</x:v>
      </x:c>
      <x:c r="O240" s="38" t="n">
        <x:v>46448</x:v>
      </x:c>
      <x:c r="P240" s="38"/>
      <x:c r="Q240" s="38"/>
      <x:c r="R240" s="37" t="str">
        <x:v>未着手</x:v>
      </x:c>
      <x:c r="S240" s="40" t="n">
        <x:f>IF(R240="完了",1,IF(R240="修正中",0.8,IF(R240="Review待ち",0.7,IF(R240="作業中",0.3,0))))</x:f>
        <x:v>0</x:v>
      </x:c>
      <x:c r="T240" s="37" t="str">
        <x:f>IF(AND(R240&lt;&gt;"完了",TODAY()&gt;O240),"遅延","")</x:f>
      </x:c>
      <x:c r="U240" s="37" t="str">
        <x:v>API-DEPT-005 単体テスト仕様書・証跡</x:v>
      </x:c>
      <x:c r="V240" s="37" t="str"/>
    </x:row>
    <x:row r="241">
      <x:c r="A241" s="37" t="str">
        <x:v>WP-071-UT</x:v>
      </x:c>
      <x:c r="B241" s="37" t="str">
        <x:v>WP-071</x:v>
      </x:c>
      <x:c r="C241" s="37" t="str">
        <x:v>SCR-003-VUE</x:v>
      </x:c>
      <x:c r="D241" s="37" t="str">
        <x:v>従業員一覧画面（Vue）</x:v>
      </x:c>
      <x:c r="E241" s="37" t="str">
        <x:v>画面</x:v>
      </x:c>
      <x:c r="F241" s="37" t="str">
        <x:v>Vue</x:v>
      </x:c>
      <x:c r="G241" s="37" t="str">
        <x:v>単体テスト</x:v>
      </x:c>
      <x:c r="H241" s="37" t="str">
        <x:v>PG-02</x:v>
      </x:c>
      <x:c r="I241" s="37" t="str">
        <x:v>Project Leader</x:v>
      </x:c>
      <x:c r="J241" s="37" t="str">
        <x:v>WP-071-CD</x:v>
      </x:c>
      <x:c r="K241" s="37" t="n">
        <x:v>7</x:v>
      </x:c>
      <x:c r="L241" s="37" t="n">
        <x:v>1</x:v>
      </x:c>
      <x:c r="M241" s="37" t="n">
        <x:v>1</x:v>
      </x:c>
      <x:c r="N241" s="38" t="n">
        <x:v>46449</x:v>
      </x:c>
      <x:c r="O241" s="38" t="n">
        <x:v>46449</x:v>
      </x:c>
      <x:c r="P241" s="38"/>
      <x:c r="Q241" s="38"/>
      <x:c r="R241" s="37" t="str">
        <x:v>未着手</x:v>
      </x:c>
      <x:c r="S241" s="40" t="n">
        <x:f>IF(R241="完了",1,IF(R241="修正中",0.8,IF(R241="Review待ち",0.7,IF(R241="作業中",0.3,0))))</x:f>
        <x:v>0</x:v>
      </x:c>
      <x:c r="T241" s="37" t="str">
        <x:f>IF(AND(R241&lt;&gt;"完了",TODAY()&gt;O241),"遅延","")</x:f>
      </x:c>
      <x:c r="U241" s="37" t="str">
        <x:v>SCR-003-VUE 単体テスト仕様書・証跡</x:v>
      </x:c>
      <x:c r="V241" s="37" t="str"/>
    </x:row>
    <x:row r="242">
      <x:c r="A242" s="37" t="str">
        <x:v>WP-072-UT</x:v>
      </x:c>
      <x:c r="B242" s="37" t="str">
        <x:v>WP-072</x:v>
      </x:c>
      <x:c r="C242" s="37" t="str">
        <x:v>SCR-004-VUE</x:v>
      </x:c>
      <x:c r="D242" s="37" t="str">
        <x:v>従業員登録画面（Vue）</x:v>
      </x:c>
      <x:c r="E242" s="37" t="str">
        <x:v>画面</x:v>
      </x:c>
      <x:c r="F242" s="37" t="str">
        <x:v>Vue</x:v>
      </x:c>
      <x:c r="G242" s="37" t="str">
        <x:v>単体テスト</x:v>
      </x:c>
      <x:c r="H242" s="37" t="str">
        <x:v>PG-02</x:v>
      </x:c>
      <x:c r="I242" s="37" t="str">
        <x:v>Project Leader</x:v>
      </x:c>
      <x:c r="J242" s="37" t="str">
        <x:v>WP-072-CD</x:v>
      </x:c>
      <x:c r="K242" s="37" t="n">
        <x:v>14</x:v>
      </x:c>
      <x:c r="L242" s="37" t="n">
        <x:v>1</x:v>
      </x:c>
      <x:c r="M242" s="37" t="n">
        <x:v>2</x:v>
      </x:c>
      <x:c r="N242" s="38" t="n">
        <x:v>46450</x:v>
      </x:c>
      <x:c r="O242" s="38" t="n">
        <x:v>46451</x:v>
      </x:c>
      <x:c r="P242" s="38"/>
      <x:c r="Q242" s="38"/>
      <x:c r="R242" s="37" t="str">
        <x:v>未着手</x:v>
      </x:c>
      <x:c r="S242" s="40" t="n">
        <x:f>IF(R242="完了",1,IF(R242="修正中",0.8,IF(R242="Review待ち",0.7,IF(R242="作業中",0.3,0))))</x:f>
        <x:v>0</x:v>
      </x:c>
      <x:c r="T242" s="37" t="str">
        <x:f>IF(AND(R242&lt;&gt;"完了",TODAY()&gt;O242),"遅延","")</x:f>
      </x:c>
      <x:c r="U242" s="37" t="str">
        <x:v>SCR-004-VUE 単体テスト仕様書・証跡</x:v>
      </x:c>
      <x:c r="V242" s="37" t="str"/>
    </x:row>
    <x:row r="243">
      <x:c r="A243" s="37" t="str">
        <x:v>WP-073-UT</x:v>
      </x:c>
      <x:c r="B243" s="37" t="str">
        <x:v>WP-073</x:v>
      </x:c>
      <x:c r="C243" s="37" t="str">
        <x:v>SCR-005-VUE</x:v>
      </x:c>
      <x:c r="D243" s="37" t="str">
        <x:v>従業員編集画面（Vue）</x:v>
      </x:c>
      <x:c r="E243" s="37" t="str">
        <x:v>画面</x:v>
      </x:c>
      <x:c r="F243" s="37" t="str">
        <x:v>Vue</x:v>
      </x:c>
      <x:c r="G243" s="37" t="str">
        <x:v>単体テスト</x:v>
      </x:c>
      <x:c r="H243" s="37" t="str">
        <x:v>PG-02</x:v>
      </x:c>
      <x:c r="I243" s="37" t="str">
        <x:v>Project Leader</x:v>
      </x:c>
      <x:c r="J243" s="37" t="str">
        <x:v>WP-073-CD</x:v>
      </x:c>
      <x:c r="K243" s="37" t="n">
        <x:v>14</x:v>
      </x:c>
      <x:c r="L243" s="37" t="n">
        <x:v>1</x:v>
      </x:c>
      <x:c r="M243" s="37" t="n">
        <x:v>2</x:v>
      </x:c>
      <x:c r="N243" s="38" t="n">
        <x:v>46454</x:v>
      </x:c>
      <x:c r="O243" s="38" t="n">
        <x:v>46455</x:v>
      </x:c>
      <x:c r="P243" s="38"/>
      <x:c r="Q243" s="38"/>
      <x:c r="R243" s="37" t="str">
        <x:v>未着手</x:v>
      </x:c>
      <x:c r="S243" s="40" t="n">
        <x:f>IF(R243="完了",1,IF(R243="修正中",0.8,IF(R243="Review待ち",0.7,IF(R243="作業中",0.3,0))))</x:f>
        <x:v>0</x:v>
      </x:c>
      <x:c r="T243" s="37" t="str">
        <x:f>IF(AND(R243&lt;&gt;"完了",TODAY()&gt;O243),"遅延","")</x:f>
      </x:c>
      <x:c r="U243" s="37" t="str">
        <x:v>SCR-005-VUE 単体テスト仕様書・証跡</x:v>
      </x:c>
      <x:c r="V243" s="37" t="str"/>
    </x:row>
    <x:row r="244">
      <x:c r="A244" s="37" t="str">
        <x:v>WP-074-UT</x:v>
      </x:c>
      <x:c r="B244" s="37" t="str">
        <x:v>WP-074</x:v>
      </x:c>
      <x:c r="C244" s="37" t="str">
        <x:v>SCR-006-VUE</x:v>
      </x:c>
      <x:c r="D244" s="37" t="str">
        <x:v>従業員詳細画面（Vue）</x:v>
      </x:c>
      <x:c r="E244" s="37" t="str">
        <x:v>画面</x:v>
      </x:c>
      <x:c r="F244" s="37" t="str">
        <x:v>Vue</x:v>
      </x:c>
      <x:c r="G244" s="37" t="str">
        <x:v>単体テスト</x:v>
      </x:c>
      <x:c r="H244" s="37" t="str">
        <x:v>PG-02</x:v>
      </x:c>
      <x:c r="I244" s="37" t="str">
        <x:v>Project Leader</x:v>
      </x:c>
      <x:c r="J244" s="37" t="str">
        <x:v>WP-074-CD</x:v>
      </x:c>
      <x:c r="K244" s="37" t="n">
        <x:v>21</x:v>
      </x:c>
      <x:c r="L244" s="37" t="n">
        <x:v>1</x:v>
      </x:c>
      <x:c r="M244" s="37" t="n">
        <x:v>3</x:v>
      </x:c>
      <x:c r="N244" s="38" t="n">
        <x:v>46456</x:v>
      </x:c>
      <x:c r="O244" s="38" t="n">
        <x:v>46458</x:v>
      </x:c>
      <x:c r="P244" s="38"/>
      <x:c r="Q244" s="38"/>
      <x:c r="R244" s="37" t="str">
        <x:v>未着手</x:v>
      </x:c>
      <x:c r="S244" s="40" t="n">
        <x:f>IF(R244="完了",1,IF(R244="修正中",0.8,IF(R244="Review待ち",0.7,IF(R244="作業中",0.3,0))))</x:f>
        <x:v>0</x:v>
      </x:c>
      <x:c r="T244" s="37" t="str">
        <x:f>IF(AND(R244&lt;&gt;"完了",TODAY()&gt;O244),"遅延","")</x:f>
      </x:c>
      <x:c r="U244" s="37" t="str">
        <x:v>SCR-006-VUE 単体テスト仕様書・証跡</x:v>
      </x:c>
      <x:c r="V244" s="37" t="str"/>
    </x:row>
    <x:row r="245">
      <x:c r="A245" s="37" t="str">
        <x:v>WP-075-UT</x:v>
      </x:c>
      <x:c r="B245" s="37" t="str">
        <x:v>WP-075</x:v>
      </x:c>
      <x:c r="C245" s="37" t="str">
        <x:v>SCR-007-VUE</x:v>
      </x:c>
      <x:c r="D245" s="37" t="str">
        <x:v>部門管理画面（Vue）</x:v>
      </x:c>
      <x:c r="E245" s="37" t="str">
        <x:v>画面</x:v>
      </x:c>
      <x:c r="F245" s="37" t="str">
        <x:v>Vue</x:v>
      </x:c>
      <x:c r="G245" s="37" t="str">
        <x:v>単体テスト</x:v>
      </x:c>
      <x:c r="H245" s="37" t="str">
        <x:v>PG-02</x:v>
      </x:c>
      <x:c r="I245" s="37" t="str">
        <x:v>Project Leader</x:v>
      </x:c>
      <x:c r="J245" s="37" t="str">
        <x:v>WP-075-CD</x:v>
      </x:c>
      <x:c r="K245" s="37" t="n">
        <x:v>21</x:v>
      </x:c>
      <x:c r="L245" s="37" t="n">
        <x:v>1</x:v>
      </x:c>
      <x:c r="M245" s="37" t="n">
        <x:v>3</x:v>
      </x:c>
      <x:c r="N245" s="38" t="n">
        <x:v>46461</x:v>
      </x:c>
      <x:c r="O245" s="38" t="n">
        <x:v>46463</x:v>
      </x:c>
      <x:c r="P245" s="38"/>
      <x:c r="Q245" s="38"/>
      <x:c r="R245" s="37" t="str">
        <x:v>未着手</x:v>
      </x:c>
      <x:c r="S245" s="40" t="n">
        <x:f>IF(R245="完了",1,IF(R245="修正中",0.8,IF(R245="Review待ち",0.7,IF(R245="作業中",0.3,0))))</x:f>
        <x:v>0</x:v>
      </x:c>
      <x:c r="T245" s="37" t="str">
        <x:f>IF(AND(R245&lt;&gt;"完了",TODAY()&gt;O245),"遅延","")</x:f>
      </x:c>
      <x:c r="U245" s="37" t="str">
        <x:v>SCR-007-VUE 単体テスト仕様書・証跡</x:v>
      </x:c>
      <x:c r="V245" s="37" t="str"/>
    </x:row>
    <x:row r="246">
      <x:c r="A246" s="37" t="str">
        <x:v>WP-004-UT</x:v>
      </x:c>
      <x:c r="B246" s="37" t="str">
        <x:v>WP-004</x:v>
      </x:c>
      <x:c r="C246" s="37" t="str">
        <x:v>COM-REACT-001</x:v>
      </x:c>
      <x:c r="D246" s="37" t="str">
        <x:v>React共通基盤</x:v>
      </x:c>
      <x:c r="E246" s="37" t="str">
        <x:v>共通</x:v>
      </x:c>
      <x:c r="F246" s="37" t="str">
        <x:v>Backend/共通</x:v>
      </x:c>
      <x:c r="G246" s="37" t="str">
        <x:v>単体テスト</x:v>
      </x:c>
      <x:c r="H246" s="37" t="str">
        <x:v>PG-03</x:v>
      </x:c>
      <x:c r="I246" s="37" t="str">
        <x:v>Project Leader</x:v>
      </x:c>
      <x:c r="J246" s="37" t="str">
        <x:v>WP-004-CD</x:v>
      </x:c>
      <x:c r="K246" s="37" t="n">
        <x:v>14</x:v>
      </x:c>
      <x:c r="L246" s="37" t="n">
        <x:v>1</x:v>
      </x:c>
      <x:c r="M246" s="37" t="n">
        <x:v>2</x:v>
      </x:c>
      <x:c r="N246" s="38" t="n">
        <x:v>46413</x:v>
      </x:c>
      <x:c r="O246" s="38" t="n">
        <x:v>46414</x:v>
      </x:c>
      <x:c r="P246" s="38"/>
      <x:c r="Q246" s="38"/>
      <x:c r="R246" s="37" t="str">
        <x:v>未着手</x:v>
      </x:c>
      <x:c r="S246" s="40" t="n">
        <x:f>IF(R246="完了",1,IF(R246="修正中",0.8,IF(R246="Review待ち",0.7,IF(R246="作業中",0.3,0))))</x:f>
        <x:v>0</x:v>
      </x:c>
      <x:c r="T246" s="37" t="str">
        <x:f>IF(AND(R246&lt;&gt;"完了",TODAY()&gt;O246),"遅延","")</x:f>
      </x:c>
      <x:c r="U246" s="37" t="str">
        <x:v>COM-REACT-001 単体テスト仕様書・証跡</x:v>
      </x:c>
      <x:c r="V246" s="37" t="str"/>
    </x:row>
    <x:row r="247">
      <x:c r="A247" s="37" t="str">
        <x:v>WP-021-UT</x:v>
      </x:c>
      <x:c r="B247" s="37" t="str">
        <x:v>WP-021</x:v>
      </x:c>
      <x:c r="C247" s="37" t="str">
        <x:v>API-ROLE-001</x:v>
      </x:c>
      <x:c r="D247" s="37" t="str">
        <x:v>Role一覧</x:v>
      </x:c>
      <x:c r="E247" s="37" t="str">
        <x:v>API</x:v>
      </x:c>
      <x:c r="F247" s="37" t="str">
        <x:v>Spring Boot</x:v>
      </x:c>
      <x:c r="G247" s="37" t="str">
        <x:v>単体テスト</x:v>
      </x:c>
      <x:c r="H247" s="37" t="str">
        <x:v>PG-03</x:v>
      </x:c>
      <x:c r="I247" s="37" t="str">
        <x:v>Project Leader</x:v>
      </x:c>
      <x:c r="J247" s="37" t="str">
        <x:v>WP-021-CD</x:v>
      </x:c>
      <x:c r="K247" s="37" t="n">
        <x:v>7</x:v>
      </x:c>
      <x:c r="L247" s="37" t="n">
        <x:v>1</x:v>
      </x:c>
      <x:c r="M247" s="37" t="n">
        <x:v>1</x:v>
      </x:c>
      <x:c r="N247" s="38" t="n">
        <x:v>46415</x:v>
      </x:c>
      <x:c r="O247" s="38" t="n">
        <x:v>46415</x:v>
      </x:c>
      <x:c r="P247" s="38"/>
      <x:c r="Q247" s="38"/>
      <x:c r="R247" s="37" t="str">
        <x:v>未着手</x:v>
      </x:c>
      <x:c r="S247" s="40" t="n">
        <x:f>IF(R247="完了",1,IF(R247="修正中",0.8,IF(R247="Review待ち",0.7,IF(R247="作業中",0.3,0))))</x:f>
        <x:v>0</x:v>
      </x:c>
      <x:c r="T247" s="37" t="str">
        <x:f>IF(AND(R247&lt;&gt;"完了",TODAY()&gt;O247),"遅延","")</x:f>
      </x:c>
      <x:c r="U247" s="37" t="str">
        <x:v>API-ROLE-001 単体テスト仕様書・証跡</x:v>
      </x:c>
      <x:c r="V247" s="37" t="str"/>
    </x:row>
    <x:row r="248">
      <x:c r="A248" s="37" t="str">
        <x:v>WP-022-UT</x:v>
      </x:c>
      <x:c r="B248" s="37" t="str">
        <x:v>WP-022</x:v>
      </x:c>
      <x:c r="C248" s="37" t="str">
        <x:v>API-ROLE-002</x:v>
      </x:c>
      <x:c r="D248" s="37" t="str">
        <x:v>Role詳細</x:v>
      </x:c>
      <x:c r="E248" s="37" t="str">
        <x:v>API</x:v>
      </x:c>
      <x:c r="F248" s="37" t="str">
        <x:v>Spring Boot</x:v>
      </x:c>
      <x:c r="G248" s="37" t="str">
        <x:v>単体テスト</x:v>
      </x:c>
      <x:c r="H248" s="37" t="str">
        <x:v>PG-03</x:v>
      </x:c>
      <x:c r="I248" s="37" t="str">
        <x:v>Project Leader</x:v>
      </x:c>
      <x:c r="J248" s="37" t="str">
        <x:v>WP-022-CD</x:v>
      </x:c>
      <x:c r="K248" s="37" t="n">
        <x:v>7</x:v>
      </x:c>
      <x:c r="L248" s="37" t="n">
        <x:v>1</x:v>
      </x:c>
      <x:c r="M248" s="37" t="n">
        <x:v>1</x:v>
      </x:c>
      <x:c r="N248" s="38" t="n">
        <x:v>46416</x:v>
      </x:c>
      <x:c r="O248" s="38" t="n">
        <x:v>46416</x:v>
      </x:c>
      <x:c r="P248" s="38"/>
      <x:c r="Q248" s="38"/>
      <x:c r="R248" s="37" t="str">
        <x:v>未着手</x:v>
      </x:c>
      <x:c r="S248" s="40" t="n">
        <x:f>IF(R248="完了",1,IF(R248="修正中",0.8,IF(R248="Review待ち",0.7,IF(R248="作業中",0.3,0))))</x:f>
        <x:v>0</x:v>
      </x:c>
      <x:c r="T248" s="37" t="str">
        <x:f>IF(AND(R248&lt;&gt;"完了",TODAY()&gt;O248),"遅延","")</x:f>
      </x:c>
      <x:c r="U248" s="37" t="str">
        <x:v>API-ROLE-002 単体テスト仕様書・証跡</x:v>
      </x:c>
      <x:c r="V248" s="37" t="str"/>
    </x:row>
    <x:row r="249">
      <x:c r="A249" s="37" t="str">
        <x:v>WP-023-UT</x:v>
      </x:c>
      <x:c r="B249" s="37" t="str">
        <x:v>WP-023</x:v>
      </x:c>
      <x:c r="C249" s="37" t="str">
        <x:v>API-ROLE-003</x:v>
      </x:c>
      <x:c r="D249" s="37" t="str">
        <x:v>Role登録</x:v>
      </x:c>
      <x:c r="E249" s="37" t="str">
        <x:v>API</x:v>
      </x:c>
      <x:c r="F249" s="37" t="str">
        <x:v>Spring Boot</x:v>
      </x:c>
      <x:c r="G249" s="37" t="str">
        <x:v>単体テスト</x:v>
      </x:c>
      <x:c r="H249" s="37" t="str">
        <x:v>PG-03</x:v>
      </x:c>
      <x:c r="I249" s="37" t="str">
        <x:v>Project Leader</x:v>
      </x:c>
      <x:c r="J249" s="37" t="str">
        <x:v>WP-023-CD</x:v>
      </x:c>
      <x:c r="K249" s="37" t="n">
        <x:v>14</x:v>
      </x:c>
      <x:c r="L249" s="37" t="n">
        <x:v>1</x:v>
      </x:c>
      <x:c r="M249" s="37" t="n">
        <x:v>2</x:v>
      </x:c>
      <x:c r="N249" s="38" t="n">
        <x:v>46419</x:v>
      </x:c>
      <x:c r="O249" s="38" t="n">
        <x:v>46420</x:v>
      </x:c>
      <x:c r="P249" s="38"/>
      <x:c r="Q249" s="38"/>
      <x:c r="R249" s="37" t="str">
        <x:v>未着手</x:v>
      </x:c>
      <x:c r="S249" s="40" t="n">
        <x:f>IF(R249="完了",1,IF(R249="修正中",0.8,IF(R249="Review待ち",0.7,IF(R249="作業中",0.3,0))))</x:f>
        <x:v>0</x:v>
      </x:c>
      <x:c r="T249" s="37" t="str">
        <x:f>IF(AND(R249&lt;&gt;"完了",TODAY()&gt;O249),"遅延","")</x:f>
      </x:c>
      <x:c r="U249" s="37" t="str">
        <x:v>API-ROLE-003 単体テスト仕様書・証跡</x:v>
      </x:c>
      <x:c r="V249" s="37" t="str"/>
    </x:row>
    <x:row r="250">
      <x:c r="A250" s="37" t="str">
        <x:v>WP-024-UT</x:v>
      </x:c>
      <x:c r="B250" s="37" t="str">
        <x:v>WP-024</x:v>
      </x:c>
      <x:c r="C250" s="37" t="str">
        <x:v>API-ROLE-004</x:v>
      </x:c>
      <x:c r="D250" s="37" t="str">
        <x:v>Role更新</x:v>
      </x:c>
      <x:c r="E250" s="37" t="str">
        <x:v>API</x:v>
      </x:c>
      <x:c r="F250" s="37" t="str">
        <x:v>Spring Boot</x:v>
      </x:c>
      <x:c r="G250" s="37" t="str">
        <x:v>単体テスト</x:v>
      </x:c>
      <x:c r="H250" s="37" t="str">
        <x:v>PG-03</x:v>
      </x:c>
      <x:c r="I250" s="37" t="str">
        <x:v>Project Leader</x:v>
      </x:c>
      <x:c r="J250" s="37" t="str">
        <x:v>WP-024-CD</x:v>
      </x:c>
      <x:c r="K250" s="37" t="n">
        <x:v>14</x:v>
      </x:c>
      <x:c r="L250" s="37" t="n">
        <x:v>1</x:v>
      </x:c>
      <x:c r="M250" s="37" t="n">
        <x:v>2</x:v>
      </x:c>
      <x:c r="N250" s="38" t="n">
        <x:v>46421</x:v>
      </x:c>
      <x:c r="O250" s="38" t="n">
        <x:v>46422</x:v>
      </x:c>
      <x:c r="P250" s="38"/>
      <x:c r="Q250" s="38"/>
      <x:c r="R250" s="37" t="str">
        <x:v>未着手</x:v>
      </x:c>
      <x:c r="S250" s="40" t="n">
        <x:f>IF(R250="完了",1,IF(R250="修正中",0.8,IF(R250="Review待ち",0.7,IF(R250="作業中",0.3,0))))</x:f>
        <x:v>0</x:v>
      </x:c>
      <x:c r="T250" s="37" t="str">
        <x:f>IF(AND(R250&lt;&gt;"完了",TODAY()&gt;O250),"遅延","")</x:f>
      </x:c>
      <x:c r="U250" s="37" t="str">
        <x:v>API-ROLE-004 単体テスト仕様書・証跡</x:v>
      </x:c>
      <x:c r="V250" s="37" t="str"/>
    </x:row>
    <x:row r="251">
      <x:c r="A251" s="37" t="str">
        <x:v>WP-025-UT</x:v>
      </x:c>
      <x:c r="B251" s="37" t="str">
        <x:v>WP-025</x:v>
      </x:c>
      <x:c r="C251" s="37" t="str">
        <x:v>API-ROLE-005</x:v>
      </x:c>
      <x:c r="D251" s="37" t="str">
        <x:v>Role状態変更</x:v>
      </x:c>
      <x:c r="E251" s="37" t="str">
        <x:v>API</x:v>
      </x:c>
      <x:c r="F251" s="37" t="str">
        <x:v>Spring Boot</x:v>
      </x:c>
      <x:c r="G251" s="37" t="str">
        <x:v>単体テスト</x:v>
      </x:c>
      <x:c r="H251" s="37" t="str">
        <x:v>PG-03</x:v>
      </x:c>
      <x:c r="I251" s="37" t="str">
        <x:v>Project Leader</x:v>
      </x:c>
      <x:c r="J251" s="37" t="str">
        <x:v>WP-025-CD</x:v>
      </x:c>
      <x:c r="K251" s="37" t="n">
        <x:v>14</x:v>
      </x:c>
      <x:c r="L251" s="37" t="n">
        <x:v>1</x:v>
      </x:c>
      <x:c r="M251" s="37" t="n">
        <x:v>2</x:v>
      </x:c>
      <x:c r="N251" s="38" t="n">
        <x:v>46423</x:v>
      </x:c>
      <x:c r="O251" s="38" t="n">
        <x:v>46426</x:v>
      </x:c>
      <x:c r="P251" s="38"/>
      <x:c r="Q251" s="38"/>
      <x:c r="R251" s="37" t="str">
        <x:v>未着手</x:v>
      </x:c>
      <x:c r="S251" s="40" t="n">
        <x:f>IF(R251="完了",1,IF(R251="修正中",0.8,IF(R251="Review待ち",0.7,IF(R251="作業中",0.3,0))))</x:f>
        <x:v>0</x:v>
      </x:c>
      <x:c r="T251" s="37" t="str">
        <x:f>IF(AND(R251&lt;&gt;"完了",TODAY()&gt;O251),"遅延","")</x:f>
      </x:c>
      <x:c r="U251" s="37" t="str">
        <x:v>API-ROLE-005 単体テスト仕様書・証跡</x:v>
      </x:c>
      <x:c r="V251" s="37" t="str"/>
    </x:row>
    <x:row r="252">
      <x:c r="A252" s="37" t="str">
        <x:v>WP-026-UT</x:v>
      </x:c>
      <x:c r="B252" s="37" t="str">
        <x:v>WP-026</x:v>
      </x:c>
      <x:c r="C252" s="37" t="str">
        <x:v>API-LOG-001</x:v>
      </x:c>
      <x:c r="D252" s="37" t="str">
        <x:v>操作Log検索</x:v>
      </x:c>
      <x:c r="E252" s="37" t="str">
        <x:v>API</x:v>
      </x:c>
      <x:c r="F252" s="37" t="str">
        <x:v>Spring Boot</x:v>
      </x:c>
      <x:c r="G252" s="37" t="str">
        <x:v>単体テスト</x:v>
      </x:c>
      <x:c r="H252" s="37" t="str">
        <x:v>PG-03</x:v>
      </x:c>
      <x:c r="I252" s="37" t="str">
        <x:v>Project Leader</x:v>
      </x:c>
      <x:c r="J252" s="37" t="str">
        <x:v>WP-026-CD</x:v>
      </x:c>
      <x:c r="K252" s="37" t="n">
        <x:v>7</x:v>
      </x:c>
      <x:c r="L252" s="37" t="n">
        <x:v>1</x:v>
      </x:c>
      <x:c r="M252" s="37" t="n">
        <x:v>1</x:v>
      </x:c>
      <x:c r="N252" s="38" t="n">
        <x:v>46427</x:v>
      </x:c>
      <x:c r="O252" s="38" t="n">
        <x:v>46427</x:v>
      </x:c>
      <x:c r="P252" s="38"/>
      <x:c r="Q252" s="38"/>
      <x:c r="R252" s="37" t="str">
        <x:v>未着手</x:v>
      </x:c>
      <x:c r="S252" s="40" t="n">
        <x:f>IF(R252="完了",1,IF(R252="修正中",0.8,IF(R252="Review待ち",0.7,IF(R252="作業中",0.3,0))))</x:f>
        <x:v>0</x:v>
      </x:c>
      <x:c r="T252" s="37" t="str">
        <x:f>IF(AND(R252&lt;&gt;"完了",TODAY()&gt;O252),"遅延","")</x:f>
      </x:c>
      <x:c r="U252" s="37" t="str">
        <x:v>API-LOG-001 単体テスト仕様書・証跡</x:v>
      </x:c>
      <x:c r="V252" s="37" t="str"/>
    </x:row>
    <x:row r="253">
      <x:c r="A253" s="37" t="str">
        <x:v>WP-027-UT</x:v>
      </x:c>
      <x:c r="B253" s="37" t="str">
        <x:v>WP-027</x:v>
      </x:c>
      <x:c r="C253" s="37" t="str">
        <x:v>API-LOG-002</x:v>
      </x:c>
      <x:c r="D253" s="37" t="str">
        <x:v>操作Log詳細</x:v>
      </x:c>
      <x:c r="E253" s="37" t="str">
        <x:v>API</x:v>
      </x:c>
      <x:c r="F253" s="37" t="str">
        <x:v>Spring Boot</x:v>
      </x:c>
      <x:c r="G253" s="37" t="str">
        <x:v>単体テスト</x:v>
      </x:c>
      <x:c r="H253" s="37" t="str">
        <x:v>PG-03</x:v>
      </x:c>
      <x:c r="I253" s="37" t="str">
        <x:v>Project Leader</x:v>
      </x:c>
      <x:c r="J253" s="37" t="str">
        <x:v>WP-027-CD</x:v>
      </x:c>
      <x:c r="K253" s="37" t="n">
        <x:v>7</x:v>
      </x:c>
      <x:c r="L253" s="37" t="n">
        <x:v>1</x:v>
      </x:c>
      <x:c r="M253" s="37" t="n">
        <x:v>1</x:v>
      </x:c>
      <x:c r="N253" s="38" t="n">
        <x:v>46428</x:v>
      </x:c>
      <x:c r="O253" s="38" t="n">
        <x:v>46428</x:v>
      </x:c>
      <x:c r="P253" s="38"/>
      <x:c r="Q253" s="38"/>
      <x:c r="R253" s="37" t="str">
        <x:v>未着手</x:v>
      </x:c>
      <x:c r="S253" s="40" t="n">
        <x:f>IF(R253="完了",1,IF(R253="修正中",0.8,IF(R253="Review待ち",0.7,IF(R253="作業中",0.3,0))))</x:f>
        <x:v>0</x:v>
      </x:c>
      <x:c r="T253" s="37" t="str">
        <x:f>IF(AND(R253&lt;&gt;"完了",TODAY()&gt;O253),"遅延","")</x:f>
      </x:c>
      <x:c r="U253" s="37" t="str">
        <x:v>API-LOG-002 単体テスト仕様書・証跡</x:v>
      </x:c>
      <x:c r="V253" s="37" t="str"/>
    </x:row>
    <x:row r="254">
      <x:c r="A254" s="37" t="str">
        <x:v>WP-040-UT</x:v>
      </x:c>
      <x:c r="B254" s="37" t="str">
        <x:v>WP-040</x:v>
      </x:c>
      <x:c r="C254" s="37" t="str">
        <x:v>API-PRJ-001</x:v>
      </x:c>
      <x:c r="D254" s="37" t="str">
        <x:v>PJ検索</x:v>
      </x:c>
      <x:c r="E254" s="37" t="str">
        <x:v>API</x:v>
      </x:c>
      <x:c r="F254" s="37" t="str">
        <x:v>Spring Boot</x:v>
      </x:c>
      <x:c r="G254" s="37" t="str">
        <x:v>単体テスト</x:v>
      </x:c>
      <x:c r="H254" s="37" t="str">
        <x:v>PG-03</x:v>
      </x:c>
      <x:c r="I254" s="37" t="str">
        <x:v>Project Leader</x:v>
      </x:c>
      <x:c r="J254" s="37" t="str">
        <x:v>WP-040-CD</x:v>
      </x:c>
      <x:c r="K254" s="37" t="n">
        <x:v>7</x:v>
      </x:c>
      <x:c r="L254" s="37" t="n">
        <x:v>1</x:v>
      </x:c>
      <x:c r="M254" s="37" t="n">
        <x:v>1</x:v>
      </x:c>
      <x:c r="N254" s="38" t="n">
        <x:v>46430</x:v>
      </x:c>
      <x:c r="O254" s="38" t="n">
        <x:v>46430</x:v>
      </x:c>
      <x:c r="P254" s="38"/>
      <x:c r="Q254" s="38"/>
      <x:c r="R254" s="37" t="str">
        <x:v>未着手</x:v>
      </x:c>
      <x:c r="S254" s="40" t="n">
        <x:f>IF(R254="完了",1,IF(R254="修正中",0.8,IF(R254="Review待ち",0.7,IF(R254="作業中",0.3,0))))</x:f>
        <x:v>0</x:v>
      </x:c>
      <x:c r="T254" s="37" t="str">
        <x:f>IF(AND(R254&lt;&gt;"完了",TODAY()&gt;O254),"遅延","")</x:f>
      </x:c>
      <x:c r="U254" s="37" t="str">
        <x:v>API-PRJ-001 単体テスト仕様書・証跡</x:v>
      </x:c>
      <x:c r="V254" s="37" t="str"/>
    </x:row>
    <x:row r="255">
      <x:c r="A255" s="37" t="str">
        <x:v>WP-041-UT</x:v>
      </x:c>
      <x:c r="B255" s="37" t="str">
        <x:v>WP-041</x:v>
      </x:c>
      <x:c r="C255" s="37" t="str">
        <x:v>API-PRJ-002</x:v>
      </x:c>
      <x:c r="D255" s="37" t="str">
        <x:v>PJ詳細</x:v>
      </x:c>
      <x:c r="E255" s="37" t="str">
        <x:v>API</x:v>
      </x:c>
      <x:c r="F255" s="37" t="str">
        <x:v>Spring Boot</x:v>
      </x:c>
      <x:c r="G255" s="37" t="str">
        <x:v>単体テスト</x:v>
      </x:c>
      <x:c r="H255" s="37" t="str">
        <x:v>PG-03</x:v>
      </x:c>
      <x:c r="I255" s="37" t="str">
        <x:v>Project Leader</x:v>
      </x:c>
      <x:c r="J255" s="37" t="str">
        <x:v>WP-041-CD</x:v>
      </x:c>
      <x:c r="K255" s="37" t="n">
        <x:v>7</x:v>
      </x:c>
      <x:c r="L255" s="37" t="n">
        <x:v>1</x:v>
      </x:c>
      <x:c r="M255" s="37" t="n">
        <x:v>1</x:v>
      </x:c>
      <x:c r="N255" s="38" t="n">
        <x:v>46433</x:v>
      </x:c>
      <x:c r="O255" s="38" t="n">
        <x:v>46433</x:v>
      </x:c>
      <x:c r="P255" s="38"/>
      <x:c r="Q255" s="38"/>
      <x:c r="R255" s="37" t="str">
        <x:v>未着手</x:v>
      </x:c>
      <x:c r="S255" s="40" t="n">
        <x:f>IF(R255="完了",1,IF(R255="修正中",0.8,IF(R255="Review待ち",0.7,IF(R255="作業中",0.3,0))))</x:f>
        <x:v>0</x:v>
      </x:c>
      <x:c r="T255" s="37" t="str">
        <x:f>IF(AND(R255&lt;&gt;"完了",TODAY()&gt;O255),"遅延","")</x:f>
      </x:c>
      <x:c r="U255" s="37" t="str">
        <x:v>API-PRJ-002 単体テスト仕様書・証跡</x:v>
      </x:c>
      <x:c r="V255" s="37" t="str"/>
    </x:row>
    <x:row r="256">
      <x:c r="A256" s="37" t="str">
        <x:v>WP-042-UT</x:v>
      </x:c>
      <x:c r="B256" s="37" t="str">
        <x:v>WP-042</x:v>
      </x:c>
      <x:c r="C256" s="37" t="str">
        <x:v>API-PRJ-003</x:v>
      </x:c>
      <x:c r="D256" s="37" t="str">
        <x:v>PJ登録</x:v>
      </x:c>
      <x:c r="E256" s="37" t="str">
        <x:v>API</x:v>
      </x:c>
      <x:c r="F256" s="37" t="str">
        <x:v>Spring Boot</x:v>
      </x:c>
      <x:c r="G256" s="37" t="str">
        <x:v>単体テスト</x:v>
      </x:c>
      <x:c r="H256" s="37" t="str">
        <x:v>PG-03</x:v>
      </x:c>
      <x:c r="I256" s="37" t="str">
        <x:v>Project Leader</x:v>
      </x:c>
      <x:c r="J256" s="37" t="str">
        <x:v>WP-042-CD</x:v>
      </x:c>
      <x:c r="K256" s="37" t="n">
        <x:v>14</x:v>
      </x:c>
      <x:c r="L256" s="37" t="n">
        <x:v>1</x:v>
      </x:c>
      <x:c r="M256" s="37" t="n">
        <x:v>2</x:v>
      </x:c>
      <x:c r="N256" s="38" t="n">
        <x:v>46434</x:v>
      </x:c>
      <x:c r="O256" s="38" t="n">
        <x:v>46435</x:v>
      </x:c>
      <x:c r="P256" s="38"/>
      <x:c r="Q256" s="38"/>
      <x:c r="R256" s="37" t="str">
        <x:v>未着手</x:v>
      </x:c>
      <x:c r="S256" s="40" t="n">
        <x:f>IF(R256="完了",1,IF(R256="修正中",0.8,IF(R256="Review待ち",0.7,IF(R256="作業中",0.3,0))))</x:f>
        <x:v>0</x:v>
      </x:c>
      <x:c r="T256" s="37" t="str">
        <x:f>IF(AND(R256&lt;&gt;"完了",TODAY()&gt;O256),"遅延","")</x:f>
      </x:c>
      <x:c r="U256" s="37" t="str">
        <x:v>API-PRJ-003 単体テスト仕様書・証跡</x:v>
      </x:c>
      <x:c r="V256" s="37" t="str"/>
    </x:row>
    <x:row r="257">
      <x:c r="A257" s="37" t="str">
        <x:v>WP-043-UT</x:v>
      </x:c>
      <x:c r="B257" s="37" t="str">
        <x:v>WP-043</x:v>
      </x:c>
      <x:c r="C257" s="37" t="str">
        <x:v>API-PRJ-004</x:v>
      </x:c>
      <x:c r="D257" s="37" t="str">
        <x:v>PJ更新</x:v>
      </x:c>
      <x:c r="E257" s="37" t="str">
        <x:v>API</x:v>
      </x:c>
      <x:c r="F257" s="37" t="str">
        <x:v>Spring Boot</x:v>
      </x:c>
      <x:c r="G257" s="37" t="str">
        <x:v>単体テスト</x:v>
      </x:c>
      <x:c r="H257" s="37" t="str">
        <x:v>PG-03</x:v>
      </x:c>
      <x:c r="I257" s="37" t="str">
        <x:v>Project Leader</x:v>
      </x:c>
      <x:c r="J257" s="37" t="str">
        <x:v>WP-043-CD</x:v>
      </x:c>
      <x:c r="K257" s="37" t="n">
        <x:v>14</x:v>
      </x:c>
      <x:c r="L257" s="37" t="n">
        <x:v>1</x:v>
      </x:c>
      <x:c r="M257" s="37" t="n">
        <x:v>2</x:v>
      </x:c>
      <x:c r="N257" s="38" t="n">
        <x:v>46436</x:v>
      </x:c>
      <x:c r="O257" s="38" t="n">
        <x:v>46437</x:v>
      </x:c>
      <x:c r="P257" s="38"/>
      <x:c r="Q257" s="38"/>
      <x:c r="R257" s="37" t="str">
        <x:v>未着手</x:v>
      </x:c>
      <x:c r="S257" s="40" t="n">
        <x:f>IF(R257="完了",1,IF(R257="修正中",0.8,IF(R257="Review待ち",0.7,IF(R257="作業中",0.3,0))))</x:f>
        <x:v>0</x:v>
      </x:c>
      <x:c r="T257" s="37" t="str">
        <x:f>IF(AND(R257&lt;&gt;"完了",TODAY()&gt;O257),"遅延","")</x:f>
      </x:c>
      <x:c r="U257" s="37" t="str">
        <x:v>API-PRJ-004 単体テスト仕様書・証跡</x:v>
      </x:c>
      <x:c r="V257" s="37" t="str"/>
    </x:row>
    <x:row r="258">
      <x:c r="A258" s="37" t="str">
        <x:v>WP-044-UT</x:v>
      </x:c>
      <x:c r="B258" s="37" t="str">
        <x:v>WP-044</x:v>
      </x:c>
      <x:c r="C258" s="37" t="str">
        <x:v>API-PRJ-005</x:v>
      </x:c>
      <x:c r="D258" s="37" t="str">
        <x:v>PJ状態変更</x:v>
      </x:c>
      <x:c r="E258" s="37" t="str">
        <x:v>API</x:v>
      </x:c>
      <x:c r="F258" s="37" t="str">
        <x:v>Spring Boot</x:v>
      </x:c>
      <x:c r="G258" s="37" t="str">
        <x:v>単体テスト</x:v>
      </x:c>
      <x:c r="H258" s="37" t="str">
        <x:v>PG-03</x:v>
      </x:c>
      <x:c r="I258" s="37" t="str">
        <x:v>Project Leader</x:v>
      </x:c>
      <x:c r="J258" s="37" t="str">
        <x:v>WP-044-CD</x:v>
      </x:c>
      <x:c r="K258" s="37" t="n">
        <x:v>14</x:v>
      </x:c>
      <x:c r="L258" s="37" t="n">
        <x:v>1</x:v>
      </x:c>
      <x:c r="M258" s="37" t="n">
        <x:v>2</x:v>
      </x:c>
      <x:c r="N258" s="38" t="n">
        <x:v>46440</x:v>
      </x:c>
      <x:c r="O258" s="38" t="n">
        <x:v>46442</x:v>
      </x:c>
      <x:c r="P258" s="38"/>
      <x:c r="Q258" s="38"/>
      <x:c r="R258" s="37" t="str">
        <x:v>未着手</x:v>
      </x:c>
      <x:c r="S258" s="40" t="n">
        <x:f>IF(R258="完了",1,IF(R258="修正中",0.8,IF(R258="Review待ち",0.7,IF(R258="作業中",0.3,0))))</x:f>
        <x:v>0</x:v>
      </x:c>
      <x:c r="T258" s="37" t="str">
        <x:f>IF(AND(R258&lt;&gt;"完了",TODAY()&gt;O258),"遅延","")</x:f>
      </x:c>
      <x:c r="U258" s="37" t="str">
        <x:v>API-PRJ-005 単体テスト仕様書・証跡</x:v>
      </x:c>
      <x:c r="V258" s="37" t="str"/>
    </x:row>
    <x:row r="259">
      <x:c r="A259" s="37" t="str">
        <x:v>WP-045-UT</x:v>
      </x:c>
      <x:c r="B259" s="37" t="str">
        <x:v>WP-045</x:v>
      </x:c>
      <x:c r="C259" s="37" t="str">
        <x:v>API-PRJ-006</x:v>
      </x:c>
      <x:c r="D259" s="37" t="str">
        <x:v>Member検索</x:v>
      </x:c>
      <x:c r="E259" s="37" t="str">
        <x:v>API</x:v>
      </x:c>
      <x:c r="F259" s="37" t="str">
        <x:v>Spring Boot</x:v>
      </x:c>
      <x:c r="G259" s="37" t="str">
        <x:v>単体テスト</x:v>
      </x:c>
      <x:c r="H259" s="37" t="str">
        <x:v>PG-03</x:v>
      </x:c>
      <x:c r="I259" s="37" t="str">
        <x:v>Project Leader</x:v>
      </x:c>
      <x:c r="J259" s="37" t="str">
        <x:v>WP-045-CD</x:v>
      </x:c>
      <x:c r="K259" s="37" t="n">
        <x:v>7</x:v>
      </x:c>
      <x:c r="L259" s="37" t="n">
        <x:v>1</x:v>
      </x:c>
      <x:c r="M259" s="37" t="n">
        <x:v>1</x:v>
      </x:c>
      <x:c r="N259" s="38" t="n">
        <x:v>46443</x:v>
      </x:c>
      <x:c r="O259" s="38" t="n">
        <x:v>46443</x:v>
      </x:c>
      <x:c r="P259" s="38"/>
      <x:c r="Q259" s="38"/>
      <x:c r="R259" s="37" t="str">
        <x:v>未着手</x:v>
      </x:c>
      <x:c r="S259" s="40" t="n">
        <x:f>IF(R259="完了",1,IF(R259="修正中",0.8,IF(R259="Review待ち",0.7,IF(R259="作業中",0.3,0))))</x:f>
        <x:v>0</x:v>
      </x:c>
      <x:c r="T259" s="37" t="str">
        <x:f>IF(AND(R259&lt;&gt;"完了",TODAY()&gt;O259),"遅延","")</x:f>
      </x:c>
      <x:c r="U259" s="37" t="str">
        <x:v>API-PRJ-006 単体テスト仕様書・証跡</x:v>
      </x:c>
      <x:c r="V259" s="37" t="str"/>
    </x:row>
    <x:row r="260">
      <x:c r="A260" s="37" t="str">
        <x:v>WP-046-UT</x:v>
      </x:c>
      <x:c r="B260" s="37" t="str">
        <x:v>WP-046</x:v>
      </x:c>
      <x:c r="C260" s="37" t="str">
        <x:v>API-PRJ-007</x:v>
      </x:c>
      <x:c r="D260" s="37" t="str">
        <x:v>Member追加</x:v>
      </x:c>
      <x:c r="E260" s="37" t="str">
        <x:v>API</x:v>
      </x:c>
      <x:c r="F260" s="37" t="str">
        <x:v>Spring Boot</x:v>
      </x:c>
      <x:c r="G260" s="37" t="str">
        <x:v>単体テスト</x:v>
      </x:c>
      <x:c r="H260" s="37" t="str">
        <x:v>PG-03</x:v>
      </x:c>
      <x:c r="I260" s="37" t="str">
        <x:v>Project Leader</x:v>
      </x:c>
      <x:c r="J260" s="37" t="str">
        <x:v>WP-046-CD</x:v>
      </x:c>
      <x:c r="K260" s="37" t="n">
        <x:v>14</x:v>
      </x:c>
      <x:c r="L260" s="37" t="n">
        <x:v>1</x:v>
      </x:c>
      <x:c r="M260" s="37" t="n">
        <x:v>2</x:v>
      </x:c>
      <x:c r="N260" s="38" t="n">
        <x:v>46444</x:v>
      </x:c>
      <x:c r="O260" s="38" t="n">
        <x:v>46447</x:v>
      </x:c>
      <x:c r="P260" s="38"/>
      <x:c r="Q260" s="38"/>
      <x:c r="R260" s="37" t="str">
        <x:v>未着手</x:v>
      </x:c>
      <x:c r="S260" s="40" t="n">
        <x:f>IF(R260="完了",1,IF(R260="修正中",0.8,IF(R260="Review待ち",0.7,IF(R260="作業中",0.3,0))))</x:f>
        <x:v>0</x:v>
      </x:c>
      <x:c r="T260" s="37" t="str">
        <x:f>IF(AND(R260&lt;&gt;"完了",TODAY()&gt;O260),"遅延","")</x:f>
      </x:c>
      <x:c r="U260" s="37" t="str">
        <x:v>API-PRJ-007 単体テスト仕様書・証跡</x:v>
      </x:c>
      <x:c r="V260" s="37" t="str"/>
    </x:row>
    <x:row r="261">
      <x:c r="A261" s="37" t="str">
        <x:v>WP-047-UT</x:v>
      </x:c>
      <x:c r="B261" s="37" t="str">
        <x:v>WP-047</x:v>
      </x:c>
      <x:c r="C261" s="37" t="str">
        <x:v>API-PRJ-008</x:v>
      </x:c>
      <x:c r="D261" s="37" t="str">
        <x:v>Member削除</x:v>
      </x:c>
      <x:c r="E261" s="37" t="str">
        <x:v>API</x:v>
      </x:c>
      <x:c r="F261" s="37" t="str">
        <x:v>Spring Boot</x:v>
      </x:c>
      <x:c r="G261" s="37" t="str">
        <x:v>単体テスト</x:v>
      </x:c>
      <x:c r="H261" s="37" t="str">
        <x:v>PG-03</x:v>
      </x:c>
      <x:c r="I261" s="37" t="str">
        <x:v>Project Leader</x:v>
      </x:c>
      <x:c r="J261" s="37" t="str">
        <x:v>WP-047-CD</x:v>
      </x:c>
      <x:c r="K261" s="37" t="n">
        <x:v>14</x:v>
      </x:c>
      <x:c r="L261" s="37" t="n">
        <x:v>1</x:v>
      </x:c>
      <x:c r="M261" s="37" t="n">
        <x:v>2</x:v>
      </x:c>
      <x:c r="N261" s="38" t="n">
        <x:v>46448</x:v>
      </x:c>
      <x:c r="O261" s="38" t="n">
        <x:v>46449</x:v>
      </x:c>
      <x:c r="P261" s="38"/>
      <x:c r="Q261" s="38"/>
      <x:c r="R261" s="37" t="str">
        <x:v>未着手</x:v>
      </x:c>
      <x:c r="S261" s="40" t="n">
        <x:f>IF(R261="完了",1,IF(R261="修正中",0.8,IF(R261="Review待ち",0.7,IF(R261="作業中",0.3,0))))</x:f>
        <x:v>0</x:v>
      </x:c>
      <x:c r="T261" s="37" t="str">
        <x:f>IF(AND(R261&lt;&gt;"完了",TODAY()&gt;O261),"遅延","")</x:f>
      </x:c>
      <x:c r="U261" s="37" t="str">
        <x:v>API-PRJ-008 単体テスト仕様書・証跡</x:v>
      </x:c>
      <x:c r="V261" s="37" t="str"/>
    </x:row>
    <x:row r="262">
      <x:c r="A262" s="37" t="str">
        <x:v>WP-076-UT</x:v>
      </x:c>
      <x:c r="B262" s="37" t="str">
        <x:v>WP-076</x:v>
      </x:c>
      <x:c r="C262" s="37" t="str">
        <x:v>SCR-008-REACT</x:v>
      </x:c>
      <x:c r="D262" s="37" t="str">
        <x:v>プロジェクト一覧画面（React）</x:v>
      </x:c>
      <x:c r="E262" s="37" t="str">
        <x:v>画面</x:v>
      </x:c>
      <x:c r="F262" s="37" t="str">
        <x:v>React</x:v>
      </x:c>
      <x:c r="G262" s="37" t="str">
        <x:v>単体テスト</x:v>
      </x:c>
      <x:c r="H262" s="37" t="str">
        <x:v>PG-03</x:v>
      </x:c>
      <x:c r="I262" s="37" t="str">
        <x:v>Project Leader</x:v>
      </x:c>
      <x:c r="J262" s="37" t="str">
        <x:v>WP-076-CD</x:v>
      </x:c>
      <x:c r="K262" s="37" t="n">
        <x:v>7</x:v>
      </x:c>
      <x:c r="L262" s="37" t="n">
        <x:v>1</x:v>
      </x:c>
      <x:c r="M262" s="37" t="n">
        <x:v>1</x:v>
      </x:c>
      <x:c r="N262" s="38" t="n">
        <x:v>46450</x:v>
      </x:c>
      <x:c r="O262" s="38" t="n">
        <x:v>46450</x:v>
      </x:c>
      <x:c r="P262" s="38"/>
      <x:c r="Q262" s="38"/>
      <x:c r="R262" s="37" t="str">
        <x:v>未着手</x:v>
      </x:c>
      <x:c r="S262" s="40" t="n">
        <x:f>IF(R262="完了",1,IF(R262="修正中",0.8,IF(R262="Review待ち",0.7,IF(R262="作業中",0.3,0))))</x:f>
        <x:v>0</x:v>
      </x:c>
      <x:c r="T262" s="37" t="str">
        <x:f>IF(AND(R262&lt;&gt;"完了",TODAY()&gt;O262),"遅延","")</x:f>
      </x:c>
      <x:c r="U262" s="37" t="str">
        <x:v>SCR-008-REACT 単体テスト仕様書・証跡</x:v>
      </x:c>
      <x:c r="V262" s="37" t="str"/>
    </x:row>
    <x:row r="263">
      <x:c r="A263" s="37" t="str">
        <x:v>WP-077-UT</x:v>
      </x:c>
      <x:c r="B263" s="37" t="str">
        <x:v>WP-077</x:v>
      </x:c>
      <x:c r="C263" s="37" t="str">
        <x:v>SCR-009-REACT</x:v>
      </x:c>
      <x:c r="D263" s="37" t="str">
        <x:v>プロジェクト登録画面（React）</x:v>
      </x:c>
      <x:c r="E263" s="37" t="str">
        <x:v>画面</x:v>
      </x:c>
      <x:c r="F263" s="37" t="str">
        <x:v>React</x:v>
      </x:c>
      <x:c r="G263" s="37" t="str">
        <x:v>単体テスト</x:v>
      </x:c>
      <x:c r="H263" s="37" t="str">
        <x:v>PG-03</x:v>
      </x:c>
      <x:c r="I263" s="37" t="str">
        <x:v>Project Leader</x:v>
      </x:c>
      <x:c r="J263" s="37" t="str">
        <x:v>WP-077-CD</x:v>
      </x:c>
      <x:c r="K263" s="37" t="n">
        <x:v>14</x:v>
      </x:c>
      <x:c r="L263" s="37" t="n">
        <x:v>1</x:v>
      </x:c>
      <x:c r="M263" s="37" t="n">
        <x:v>2</x:v>
      </x:c>
      <x:c r="N263" s="38" t="n">
        <x:v>46451</x:v>
      </x:c>
      <x:c r="O263" s="38" t="n">
        <x:v>46454</x:v>
      </x:c>
      <x:c r="P263" s="38"/>
      <x:c r="Q263" s="38"/>
      <x:c r="R263" s="37" t="str">
        <x:v>未着手</x:v>
      </x:c>
      <x:c r="S263" s="40" t="n">
        <x:f>IF(R263="完了",1,IF(R263="修正中",0.8,IF(R263="Review待ち",0.7,IF(R263="作業中",0.3,0))))</x:f>
        <x:v>0</x:v>
      </x:c>
      <x:c r="T263" s="37" t="str">
        <x:f>IF(AND(R263&lt;&gt;"完了",TODAY()&gt;O263),"遅延","")</x:f>
      </x:c>
      <x:c r="U263" s="37" t="str">
        <x:v>SCR-009-REACT 単体テスト仕様書・証跡</x:v>
      </x:c>
      <x:c r="V263" s="37" t="str"/>
    </x:row>
    <x:row r="264">
      <x:c r="A264" s="37" t="str">
        <x:v>WP-078-UT</x:v>
      </x:c>
      <x:c r="B264" s="37" t="str">
        <x:v>WP-078</x:v>
      </x:c>
      <x:c r="C264" s="37" t="str">
        <x:v>SCR-010-REACT</x:v>
      </x:c>
      <x:c r="D264" s="37" t="str">
        <x:v>プロジェクト編集画面（React）</x:v>
      </x:c>
      <x:c r="E264" s="37" t="str">
        <x:v>画面</x:v>
      </x:c>
      <x:c r="F264" s="37" t="str">
        <x:v>React</x:v>
      </x:c>
      <x:c r="G264" s="37" t="str">
        <x:v>単体テスト</x:v>
      </x:c>
      <x:c r="H264" s="37" t="str">
        <x:v>PG-03</x:v>
      </x:c>
      <x:c r="I264" s="37" t="str">
        <x:v>Project Leader</x:v>
      </x:c>
      <x:c r="J264" s="37" t="str">
        <x:v>WP-078-CD</x:v>
      </x:c>
      <x:c r="K264" s="37" t="n">
        <x:v>14</x:v>
      </x:c>
      <x:c r="L264" s="37" t="n">
        <x:v>1</x:v>
      </x:c>
      <x:c r="M264" s="37" t="n">
        <x:v>2</x:v>
      </x:c>
      <x:c r="N264" s="38" t="n">
        <x:v>46455</x:v>
      </x:c>
      <x:c r="O264" s="38" t="n">
        <x:v>46456</x:v>
      </x:c>
      <x:c r="P264" s="38"/>
      <x:c r="Q264" s="38"/>
      <x:c r="R264" s="37" t="str">
        <x:v>未着手</x:v>
      </x:c>
      <x:c r="S264" s="40" t="n">
        <x:f>IF(R264="完了",1,IF(R264="修正中",0.8,IF(R264="Review待ち",0.7,IF(R264="作業中",0.3,0))))</x:f>
        <x:v>0</x:v>
      </x:c>
      <x:c r="T264" s="37" t="str">
        <x:f>IF(AND(R264&lt;&gt;"完了",TODAY()&gt;O264),"遅延","")</x:f>
      </x:c>
      <x:c r="U264" s="37" t="str">
        <x:v>SCR-010-REACT 単体テスト仕様書・証跡</x:v>
      </x:c>
      <x:c r="V264" s="37" t="str"/>
    </x:row>
    <x:row r="265">
      <x:c r="A265" s="37" t="str">
        <x:v>WP-079-UT</x:v>
      </x:c>
      <x:c r="B265" s="37" t="str">
        <x:v>WP-079</x:v>
      </x:c>
      <x:c r="C265" s="37" t="str">
        <x:v>SCR-011-REACT</x:v>
      </x:c>
      <x:c r="D265" s="37" t="str">
        <x:v>プロジェクト詳細画面（React）</x:v>
      </x:c>
      <x:c r="E265" s="37" t="str">
        <x:v>画面</x:v>
      </x:c>
      <x:c r="F265" s="37" t="str">
        <x:v>React</x:v>
      </x:c>
      <x:c r="G265" s="37" t="str">
        <x:v>単体テスト</x:v>
      </x:c>
      <x:c r="H265" s="37" t="str">
        <x:v>PG-03</x:v>
      </x:c>
      <x:c r="I265" s="37" t="str">
        <x:v>Project Leader</x:v>
      </x:c>
      <x:c r="J265" s="37" t="str">
        <x:v>WP-079-CD</x:v>
      </x:c>
      <x:c r="K265" s="37" t="n">
        <x:v>21</x:v>
      </x:c>
      <x:c r="L265" s="37" t="n">
        <x:v>1</x:v>
      </x:c>
      <x:c r="M265" s="37" t="n">
        <x:v>3</x:v>
      </x:c>
      <x:c r="N265" s="38" t="n">
        <x:v>46457</x:v>
      </x:c>
      <x:c r="O265" s="38" t="n">
        <x:v>46461</x:v>
      </x:c>
      <x:c r="P265" s="38"/>
      <x:c r="Q265" s="38"/>
      <x:c r="R265" s="37" t="str">
        <x:v>未着手</x:v>
      </x:c>
      <x:c r="S265" s="40" t="n">
        <x:f>IF(R265="完了",1,IF(R265="修正中",0.8,IF(R265="Review待ち",0.7,IF(R265="作業中",0.3,0))))</x:f>
        <x:v>0</x:v>
      </x:c>
      <x:c r="T265" s="37" t="str">
        <x:f>IF(AND(R265&lt;&gt;"完了",TODAY()&gt;O265),"遅延","")</x:f>
      </x:c>
      <x:c r="U265" s="37" t="str">
        <x:v>SCR-011-REACT 単体テスト仕様書・証跡</x:v>
      </x:c>
      <x:c r="V265" s="37" t="str"/>
    </x:row>
    <x:row r="266">
      <x:c r="A266" s="37" t="str">
        <x:v>WP-080-UT</x:v>
      </x:c>
      <x:c r="B266" s="37" t="str">
        <x:v>WP-080</x:v>
      </x:c>
      <x:c r="C266" s="37" t="str">
        <x:v>SCR-012-REACT</x:v>
      </x:c>
      <x:c r="D266" s="37" t="str">
        <x:v>プロジェクトメンバー管理画面（React）</x:v>
      </x:c>
      <x:c r="E266" s="37" t="str">
        <x:v>画面</x:v>
      </x:c>
      <x:c r="F266" s="37" t="str">
        <x:v>React</x:v>
      </x:c>
      <x:c r="G266" s="37" t="str">
        <x:v>単体テスト</x:v>
      </x:c>
      <x:c r="H266" s="37" t="str">
        <x:v>PG-03</x:v>
      </x:c>
      <x:c r="I266" s="37" t="str">
        <x:v>Project Leader</x:v>
      </x:c>
      <x:c r="J266" s="37" t="str">
        <x:v>WP-080-CD</x:v>
      </x:c>
      <x:c r="K266" s="37" t="n">
        <x:v>21</x:v>
      </x:c>
      <x:c r="L266" s="37" t="n">
        <x:v>1</x:v>
      </x:c>
      <x:c r="M266" s="37" t="n">
        <x:v>3</x:v>
      </x:c>
      <x:c r="N266" s="38" t="n">
        <x:v>46462</x:v>
      </x:c>
      <x:c r="O266" s="38" t="n">
        <x:v>46464</x:v>
      </x:c>
      <x:c r="P266" s="38"/>
      <x:c r="Q266" s="38"/>
      <x:c r="R266" s="37" t="str">
        <x:v>未着手</x:v>
      </x:c>
      <x:c r="S266" s="40" t="n">
        <x:f>IF(R266="完了",1,IF(R266="修正中",0.8,IF(R266="Review待ち",0.7,IF(R266="作業中",0.3,0))))</x:f>
        <x:v>0</x:v>
      </x:c>
      <x:c r="T266" s="37" t="str">
        <x:f>IF(AND(R266&lt;&gt;"完了",TODAY()&gt;O266),"遅延","")</x:f>
      </x:c>
      <x:c r="U266" s="37" t="str">
        <x:v>SCR-012-REACT 単体テスト仕様書・証跡</x:v>
      </x:c>
      <x:c r="V266" s="37" t="str"/>
    </x:row>
    <x:row r="267">
      <x:c r="A267" s="37" t="str">
        <x:v>WP-092-UT</x:v>
      </x:c>
      <x:c r="B267" s="37" t="str">
        <x:v>WP-092</x:v>
      </x:c>
      <x:c r="C267" s="37" t="str">
        <x:v>SCR-024-REACT</x:v>
      </x:c>
      <x:c r="D267" s="37" t="str">
        <x:v>ロール管理画面（React）</x:v>
      </x:c>
      <x:c r="E267" s="37" t="str">
        <x:v>画面</x:v>
      </x:c>
      <x:c r="F267" s="37" t="str">
        <x:v>React</x:v>
      </x:c>
      <x:c r="G267" s="37" t="str">
        <x:v>単体テスト</x:v>
      </x:c>
      <x:c r="H267" s="37" t="str">
        <x:v>PG-03</x:v>
      </x:c>
      <x:c r="I267" s="37" t="str">
        <x:v>Project Leader</x:v>
      </x:c>
      <x:c r="J267" s="37" t="str">
        <x:v>WP-092-CD</x:v>
      </x:c>
      <x:c r="K267" s="37" t="n">
        <x:v>21</x:v>
      </x:c>
      <x:c r="L267" s="37" t="n">
        <x:v>1</x:v>
      </x:c>
      <x:c r="M267" s="37" t="n">
        <x:v>3</x:v>
      </x:c>
      <x:c r="N267" s="38" t="n">
        <x:v>46465</x:v>
      </x:c>
      <x:c r="O267" s="38" t="n">
        <x:v>46470</x:v>
      </x:c>
      <x:c r="P267" s="38"/>
      <x:c r="Q267" s="38"/>
      <x:c r="R267" s="37" t="str">
        <x:v>未着手</x:v>
      </x:c>
      <x:c r="S267" s="40" t="n">
        <x:f>IF(R267="完了",1,IF(R267="修正中",0.8,IF(R267="Review待ち",0.7,IF(R267="作業中",0.3,0))))</x:f>
        <x:v>0</x:v>
      </x:c>
      <x:c r="T267" s="37" t="str">
        <x:f>IF(AND(R267&lt;&gt;"完了",TODAY()&gt;O267),"遅延","")</x:f>
      </x:c>
      <x:c r="U267" s="37" t="str">
        <x:v>SCR-024-REACT 単体テスト仕様書・証跡</x:v>
      </x:c>
      <x:c r="V267" s="37" t="str"/>
    </x:row>
    <x:row r="268">
      <x:c r="A268" s="37" t="str">
        <x:v>WP-005-UT</x:v>
      </x:c>
      <x:c r="B268" s="37" t="str">
        <x:v>WP-005</x:v>
      </x:c>
      <x:c r="C268" s="37" t="str">
        <x:v>COM-FILE-001</x:v>
      </x:c>
      <x:c r="D268" s="37" t="str">
        <x:v>File共通処理</x:v>
      </x:c>
      <x:c r="E268" s="37" t="str">
        <x:v>共通</x:v>
      </x:c>
      <x:c r="F268" s="37" t="str">
        <x:v>Backend/共通</x:v>
      </x:c>
      <x:c r="G268" s="37" t="str">
        <x:v>単体テスト</x:v>
      </x:c>
      <x:c r="H268" s="37" t="str">
        <x:v>PG-04</x:v>
      </x:c>
      <x:c r="I268" s="37" t="str">
        <x:v>Project Leader</x:v>
      </x:c>
      <x:c r="J268" s="37" t="str">
        <x:v>WP-005-CD</x:v>
      </x:c>
      <x:c r="K268" s="37" t="n">
        <x:v>21</x:v>
      </x:c>
      <x:c r="L268" s="37" t="n">
        <x:v>1</x:v>
      </x:c>
      <x:c r="M268" s="37" t="n">
        <x:v>3</x:v>
      </x:c>
      <x:c r="N268" s="38" t="n">
        <x:v>46413</x:v>
      </x:c>
      <x:c r="O268" s="38" t="n">
        <x:v>46415</x:v>
      </x:c>
      <x:c r="P268" s="38"/>
      <x:c r="Q268" s="38"/>
      <x:c r="R268" s="37" t="str">
        <x:v>未着手</x:v>
      </x:c>
      <x:c r="S268" s="40" t="n">
        <x:f>IF(R268="完了",1,IF(R268="修正中",0.8,IF(R268="Review待ち",0.7,IF(R268="作業中",0.3,0))))</x:f>
        <x:v>0</x:v>
      </x:c>
      <x:c r="T268" s="37" t="str">
        <x:f>IF(AND(R268&lt;&gt;"完了",TODAY()&gt;O268),"遅延","")</x:f>
      </x:c>
      <x:c r="U268" s="37" t="str">
        <x:v>COM-FILE-001 単体テスト仕様書・証跡</x:v>
      </x:c>
      <x:c r="V268" s="37" t="str"/>
    </x:row>
    <x:row r="269">
      <x:c r="A269" s="37" t="str">
        <x:v>WP-048-UT</x:v>
      </x:c>
      <x:c r="B269" s="37" t="str">
        <x:v>WP-048</x:v>
      </x:c>
      <x:c r="C269" s="37" t="str">
        <x:v>API-TASK-001</x:v>
      </x:c>
      <x:c r="D269" s="37" t="str">
        <x:v>Task検索</x:v>
      </x:c>
      <x:c r="E269" s="37" t="str">
        <x:v>API</x:v>
      </x:c>
      <x:c r="F269" s="37" t="str">
        <x:v>Spring Boot</x:v>
      </x:c>
      <x:c r="G269" s="37" t="str">
        <x:v>単体テスト</x:v>
      </x:c>
      <x:c r="H269" s="37" t="str">
        <x:v>PG-04</x:v>
      </x:c>
      <x:c r="I269" s="37" t="str">
        <x:v>Project Leader</x:v>
      </x:c>
      <x:c r="J269" s="37" t="str">
        <x:v>WP-048-CD</x:v>
      </x:c>
      <x:c r="K269" s="37" t="n">
        <x:v>7</x:v>
      </x:c>
      <x:c r="L269" s="37" t="n">
        <x:v>1</x:v>
      </x:c>
      <x:c r="M269" s="37" t="n">
        <x:v>1</x:v>
      </x:c>
      <x:c r="N269" s="38" t="n">
        <x:v>46416</x:v>
      </x:c>
      <x:c r="O269" s="38" t="n">
        <x:v>46416</x:v>
      </x:c>
      <x:c r="P269" s="38"/>
      <x:c r="Q269" s="38"/>
      <x:c r="R269" s="37" t="str">
        <x:v>未着手</x:v>
      </x:c>
      <x:c r="S269" s="40" t="n">
        <x:f>IF(R269="完了",1,IF(R269="修正中",0.8,IF(R269="Review待ち",0.7,IF(R269="作業中",0.3,0))))</x:f>
        <x:v>0</x:v>
      </x:c>
      <x:c r="T269" s="37" t="str">
        <x:f>IF(AND(R269&lt;&gt;"完了",TODAY()&gt;O269),"遅延","")</x:f>
      </x:c>
      <x:c r="U269" s="37" t="str">
        <x:v>API-TASK-001 単体テスト仕様書・証跡</x:v>
      </x:c>
      <x:c r="V269" s="37" t="str"/>
    </x:row>
    <x:row r="270">
      <x:c r="A270" s="37" t="str">
        <x:v>WP-049-UT</x:v>
      </x:c>
      <x:c r="B270" s="37" t="str">
        <x:v>WP-049</x:v>
      </x:c>
      <x:c r="C270" s="37" t="str">
        <x:v>API-TASK-002</x:v>
      </x:c>
      <x:c r="D270" s="37" t="str">
        <x:v>Task詳細</x:v>
      </x:c>
      <x:c r="E270" s="37" t="str">
        <x:v>API</x:v>
      </x:c>
      <x:c r="F270" s="37" t="str">
        <x:v>Spring Boot</x:v>
      </x:c>
      <x:c r="G270" s="37" t="str">
        <x:v>単体テスト</x:v>
      </x:c>
      <x:c r="H270" s="37" t="str">
        <x:v>PG-04</x:v>
      </x:c>
      <x:c r="I270" s="37" t="str">
        <x:v>Project Leader</x:v>
      </x:c>
      <x:c r="J270" s="37" t="str">
        <x:v>WP-049-CD</x:v>
      </x:c>
      <x:c r="K270" s="37" t="n">
        <x:v>7</x:v>
      </x:c>
      <x:c r="L270" s="37" t="n">
        <x:v>1</x:v>
      </x:c>
      <x:c r="M270" s="37" t="n">
        <x:v>1</x:v>
      </x:c>
      <x:c r="N270" s="38" t="n">
        <x:v>46419</x:v>
      </x:c>
      <x:c r="O270" s="38" t="n">
        <x:v>46419</x:v>
      </x:c>
      <x:c r="P270" s="38"/>
      <x:c r="Q270" s="38"/>
      <x:c r="R270" s="37" t="str">
        <x:v>未着手</x:v>
      </x:c>
      <x:c r="S270" s="40" t="n">
        <x:f>IF(R270="完了",1,IF(R270="修正中",0.8,IF(R270="Review待ち",0.7,IF(R270="作業中",0.3,0))))</x:f>
        <x:v>0</x:v>
      </x:c>
      <x:c r="T270" s="37" t="str">
        <x:f>IF(AND(R270&lt;&gt;"完了",TODAY()&gt;O270),"遅延","")</x:f>
      </x:c>
      <x:c r="U270" s="37" t="str">
        <x:v>API-TASK-002 単体テスト仕様書・証跡</x:v>
      </x:c>
      <x:c r="V270" s="37" t="str"/>
    </x:row>
    <x:row r="271">
      <x:c r="A271" s="37" t="str">
        <x:v>WP-050-UT</x:v>
      </x:c>
      <x:c r="B271" s="37" t="str">
        <x:v>WP-050</x:v>
      </x:c>
      <x:c r="C271" s="37" t="str">
        <x:v>API-TASK-003</x:v>
      </x:c>
      <x:c r="D271" s="37" t="str">
        <x:v>Task登録</x:v>
      </x:c>
      <x:c r="E271" s="37" t="str">
        <x:v>API</x:v>
      </x:c>
      <x:c r="F271" s="37" t="str">
        <x:v>Spring Boot</x:v>
      </x:c>
      <x:c r="G271" s="37" t="str">
        <x:v>単体テスト</x:v>
      </x:c>
      <x:c r="H271" s="37" t="str">
        <x:v>PG-04</x:v>
      </x:c>
      <x:c r="I271" s="37" t="str">
        <x:v>Project Leader</x:v>
      </x:c>
      <x:c r="J271" s="37" t="str">
        <x:v>WP-050-CD</x:v>
      </x:c>
      <x:c r="K271" s="37" t="n">
        <x:v>14</x:v>
      </x:c>
      <x:c r="L271" s="37" t="n">
        <x:v>1</x:v>
      </x:c>
      <x:c r="M271" s="37" t="n">
        <x:v>2</x:v>
      </x:c>
      <x:c r="N271" s="38" t="n">
        <x:v>46420</x:v>
      </x:c>
      <x:c r="O271" s="38" t="n">
        <x:v>46421</x:v>
      </x:c>
      <x:c r="P271" s="38"/>
      <x:c r="Q271" s="38"/>
      <x:c r="R271" s="37" t="str">
        <x:v>未着手</x:v>
      </x:c>
      <x:c r="S271" s="40" t="n">
        <x:f>IF(R271="完了",1,IF(R271="修正中",0.8,IF(R271="Review待ち",0.7,IF(R271="作業中",0.3,0))))</x:f>
        <x:v>0</x:v>
      </x:c>
      <x:c r="T271" s="37" t="str">
        <x:f>IF(AND(R271&lt;&gt;"完了",TODAY()&gt;O271),"遅延","")</x:f>
      </x:c>
      <x:c r="U271" s="37" t="str">
        <x:v>API-TASK-003 単体テスト仕様書・証跡</x:v>
      </x:c>
      <x:c r="V271" s="37" t="str"/>
    </x:row>
    <x:row r="272">
      <x:c r="A272" s="37" t="str">
        <x:v>WP-051-UT</x:v>
      </x:c>
      <x:c r="B272" s="37" t="str">
        <x:v>WP-051</x:v>
      </x:c>
      <x:c r="C272" s="37" t="str">
        <x:v>API-TASK-004</x:v>
      </x:c>
      <x:c r="D272" s="37" t="str">
        <x:v>Task更新</x:v>
      </x:c>
      <x:c r="E272" s="37" t="str">
        <x:v>API</x:v>
      </x:c>
      <x:c r="F272" s="37" t="str">
        <x:v>Spring Boot</x:v>
      </x:c>
      <x:c r="G272" s="37" t="str">
        <x:v>単体テスト</x:v>
      </x:c>
      <x:c r="H272" s="37" t="str">
        <x:v>PG-04</x:v>
      </x:c>
      <x:c r="I272" s="37" t="str">
        <x:v>Project Leader</x:v>
      </x:c>
      <x:c r="J272" s="37" t="str">
        <x:v>WP-051-CD</x:v>
      </x:c>
      <x:c r="K272" s="37" t="n">
        <x:v>14</x:v>
      </x:c>
      <x:c r="L272" s="37" t="n">
        <x:v>1</x:v>
      </x:c>
      <x:c r="M272" s="37" t="n">
        <x:v>2</x:v>
      </x:c>
      <x:c r="N272" s="38" t="n">
        <x:v>46422</x:v>
      </x:c>
      <x:c r="O272" s="38" t="n">
        <x:v>46423</x:v>
      </x:c>
      <x:c r="P272" s="38"/>
      <x:c r="Q272" s="38"/>
      <x:c r="R272" s="37" t="str">
        <x:v>未着手</x:v>
      </x:c>
      <x:c r="S272" s="40" t="n">
        <x:f>IF(R272="完了",1,IF(R272="修正中",0.8,IF(R272="Review待ち",0.7,IF(R272="作業中",0.3,0))))</x:f>
        <x:v>0</x:v>
      </x:c>
      <x:c r="T272" s="37" t="str">
        <x:f>IF(AND(R272&lt;&gt;"完了",TODAY()&gt;O272),"遅延","")</x:f>
      </x:c>
      <x:c r="U272" s="37" t="str">
        <x:v>API-TASK-004 単体テスト仕様書・証跡</x:v>
      </x:c>
      <x:c r="V272" s="37" t="str"/>
    </x:row>
    <x:row r="273">
      <x:c r="A273" s="37" t="str">
        <x:v>WP-052-UT</x:v>
      </x:c>
      <x:c r="B273" s="37" t="str">
        <x:v>WP-052</x:v>
      </x:c>
      <x:c r="C273" s="37" t="str">
        <x:v>API-TASK-005</x:v>
      </x:c>
      <x:c r="D273" s="37" t="str">
        <x:v>Task状態更新</x:v>
      </x:c>
      <x:c r="E273" s="37" t="str">
        <x:v>API</x:v>
      </x:c>
      <x:c r="F273" s="37" t="str">
        <x:v>Spring Boot</x:v>
      </x:c>
      <x:c r="G273" s="37" t="str">
        <x:v>単体テスト</x:v>
      </x:c>
      <x:c r="H273" s="37" t="str">
        <x:v>PG-04</x:v>
      </x:c>
      <x:c r="I273" s="37" t="str">
        <x:v>Project Leader</x:v>
      </x:c>
      <x:c r="J273" s="37" t="str">
        <x:v>WP-052-CD</x:v>
      </x:c>
      <x:c r="K273" s="37" t="n">
        <x:v>14</x:v>
      </x:c>
      <x:c r="L273" s="37" t="n">
        <x:v>1</x:v>
      </x:c>
      <x:c r="M273" s="37" t="n">
        <x:v>2</x:v>
      </x:c>
      <x:c r="N273" s="38" t="n">
        <x:v>46426</x:v>
      </x:c>
      <x:c r="O273" s="38" t="n">
        <x:v>46427</x:v>
      </x:c>
      <x:c r="P273" s="38"/>
      <x:c r="Q273" s="38"/>
      <x:c r="R273" s="37" t="str">
        <x:v>未着手</x:v>
      </x:c>
      <x:c r="S273" s="40" t="n">
        <x:f>IF(R273="完了",1,IF(R273="修正中",0.8,IF(R273="Review待ち",0.7,IF(R273="作業中",0.3,0))))</x:f>
        <x:v>0</x:v>
      </x:c>
      <x:c r="T273" s="37" t="str">
        <x:f>IF(AND(R273&lt;&gt;"完了",TODAY()&gt;O273),"遅延","")</x:f>
      </x:c>
      <x:c r="U273" s="37" t="str">
        <x:v>API-TASK-005 単体テスト仕様書・証跡</x:v>
      </x:c>
      <x:c r="V273" s="37" t="str"/>
    </x:row>
    <x:row r="274">
      <x:c r="A274" s="37" t="str">
        <x:v>WP-053-UT</x:v>
      </x:c>
      <x:c r="B274" s="37" t="str">
        <x:v>WP-053</x:v>
      </x:c>
      <x:c r="C274" s="37" t="str">
        <x:v>API-TASK-006</x:v>
      </x:c>
      <x:c r="D274" s="37" t="str">
        <x:v>進捗更新</x:v>
      </x:c>
      <x:c r="E274" s="37" t="str">
        <x:v>API</x:v>
      </x:c>
      <x:c r="F274" s="37" t="str">
        <x:v>Spring Boot</x:v>
      </x:c>
      <x:c r="G274" s="37" t="str">
        <x:v>単体テスト</x:v>
      </x:c>
      <x:c r="H274" s="37" t="str">
        <x:v>PG-04</x:v>
      </x:c>
      <x:c r="I274" s="37" t="str">
        <x:v>Project Leader</x:v>
      </x:c>
      <x:c r="J274" s="37" t="str">
        <x:v>WP-053-CD</x:v>
      </x:c>
      <x:c r="K274" s="37" t="n">
        <x:v>14</x:v>
      </x:c>
      <x:c r="L274" s="37" t="n">
        <x:v>1</x:v>
      </x:c>
      <x:c r="M274" s="37" t="n">
        <x:v>2</x:v>
      </x:c>
      <x:c r="N274" s="38" t="n">
        <x:v>46428</x:v>
      </x:c>
      <x:c r="O274" s="38" t="n">
        <x:v>46430</x:v>
      </x:c>
      <x:c r="P274" s="38"/>
      <x:c r="Q274" s="38"/>
      <x:c r="R274" s="37" t="str">
        <x:v>未着手</x:v>
      </x:c>
      <x:c r="S274" s="40" t="n">
        <x:f>IF(R274="完了",1,IF(R274="修正中",0.8,IF(R274="Review待ち",0.7,IF(R274="作業中",0.3,0))))</x:f>
        <x:v>0</x:v>
      </x:c>
      <x:c r="T274" s="37" t="str">
        <x:f>IF(AND(R274&lt;&gt;"完了",TODAY()&gt;O274),"遅延","")</x:f>
      </x:c>
      <x:c r="U274" s="37" t="str">
        <x:v>API-TASK-006 単体テスト仕様書・証跡</x:v>
      </x:c>
      <x:c r="V274" s="37" t="str"/>
    </x:row>
    <x:row r="275">
      <x:c r="A275" s="37" t="str">
        <x:v>WP-054-UT</x:v>
      </x:c>
      <x:c r="B275" s="37" t="str">
        <x:v>WP-054</x:v>
      </x:c>
      <x:c r="C275" s="37" t="str">
        <x:v>API-TASK-007</x:v>
      </x:c>
      <x:c r="D275" s="37" t="str">
        <x:v>Comment登録</x:v>
      </x:c>
      <x:c r="E275" s="37" t="str">
        <x:v>API</x:v>
      </x:c>
      <x:c r="F275" s="37" t="str">
        <x:v>Spring Boot</x:v>
      </x:c>
      <x:c r="G275" s="37" t="str">
        <x:v>単体テスト</x:v>
      </x:c>
      <x:c r="H275" s="37" t="str">
        <x:v>PG-04</x:v>
      </x:c>
      <x:c r="I275" s="37" t="str">
        <x:v>Project Leader</x:v>
      </x:c>
      <x:c r="J275" s="37" t="str">
        <x:v>WP-054-CD</x:v>
      </x:c>
      <x:c r="K275" s="37" t="n">
        <x:v>14</x:v>
      </x:c>
      <x:c r="L275" s="37" t="n">
        <x:v>1</x:v>
      </x:c>
      <x:c r="M275" s="37" t="n">
        <x:v>2</x:v>
      </x:c>
      <x:c r="N275" s="38" t="n">
        <x:v>46433</x:v>
      </x:c>
      <x:c r="O275" s="38" t="n">
        <x:v>46434</x:v>
      </x:c>
      <x:c r="P275" s="38"/>
      <x:c r="Q275" s="38"/>
      <x:c r="R275" s="37" t="str">
        <x:v>未着手</x:v>
      </x:c>
      <x:c r="S275" s="40" t="n">
        <x:f>IF(R275="完了",1,IF(R275="修正中",0.8,IF(R275="Review待ち",0.7,IF(R275="作業中",0.3,0))))</x:f>
        <x:v>0</x:v>
      </x:c>
      <x:c r="T275" s="37" t="str">
        <x:f>IF(AND(R275&lt;&gt;"完了",TODAY()&gt;O275),"遅延","")</x:f>
      </x:c>
      <x:c r="U275" s="37" t="str">
        <x:v>API-TASK-007 単体テスト仕様書・証跡</x:v>
      </x:c>
      <x:c r="V275" s="37" t="str"/>
    </x:row>
    <x:row r="276">
      <x:c r="A276" s="37" t="str">
        <x:v>WP-055-UT</x:v>
      </x:c>
      <x:c r="B276" s="37" t="str">
        <x:v>WP-055</x:v>
      </x:c>
      <x:c r="C276" s="37" t="str">
        <x:v>API-TASK-008</x:v>
      </x:c>
      <x:c r="D276" s="37" t="str">
        <x:v>履歴検索</x:v>
      </x:c>
      <x:c r="E276" s="37" t="str">
        <x:v>API</x:v>
      </x:c>
      <x:c r="F276" s="37" t="str">
        <x:v>Spring Boot</x:v>
      </x:c>
      <x:c r="G276" s="37" t="str">
        <x:v>単体テスト</x:v>
      </x:c>
      <x:c r="H276" s="37" t="str">
        <x:v>PG-04</x:v>
      </x:c>
      <x:c r="I276" s="37" t="str">
        <x:v>Project Leader</x:v>
      </x:c>
      <x:c r="J276" s="37" t="str">
        <x:v>WP-055-CD</x:v>
      </x:c>
      <x:c r="K276" s="37" t="n">
        <x:v>7</x:v>
      </x:c>
      <x:c r="L276" s="37" t="n">
        <x:v>1</x:v>
      </x:c>
      <x:c r="M276" s="37" t="n">
        <x:v>1</x:v>
      </x:c>
      <x:c r="N276" s="38" t="n">
        <x:v>46435</x:v>
      </x:c>
      <x:c r="O276" s="38" t="n">
        <x:v>46435</x:v>
      </x:c>
      <x:c r="P276" s="38"/>
      <x:c r="Q276" s="38"/>
      <x:c r="R276" s="37" t="str">
        <x:v>未着手</x:v>
      </x:c>
      <x:c r="S276" s="40" t="n">
        <x:f>IF(R276="完了",1,IF(R276="修正中",0.8,IF(R276="Review待ち",0.7,IF(R276="作業中",0.3,0))))</x:f>
        <x:v>0</x:v>
      </x:c>
      <x:c r="T276" s="37" t="str">
        <x:f>IF(AND(R276&lt;&gt;"完了",TODAY()&gt;O276),"遅延","")</x:f>
      </x:c>
      <x:c r="U276" s="37" t="str">
        <x:v>API-TASK-008 単体テスト仕様書・証跡</x:v>
      </x:c>
      <x:c r="V276" s="37" t="str"/>
    </x:row>
    <x:row r="277">
      <x:c r="A277" s="37" t="str">
        <x:v>WP-056-UT</x:v>
      </x:c>
      <x:c r="B277" s="37" t="str">
        <x:v>WP-056</x:v>
      </x:c>
      <x:c r="C277" s="37" t="str">
        <x:v>API-TASK-009</x:v>
      </x:c>
      <x:c r="D277" s="37" t="str">
        <x:v>添付登録</x:v>
      </x:c>
      <x:c r="E277" s="37" t="str">
        <x:v>API</x:v>
      </x:c>
      <x:c r="F277" s="37" t="str">
        <x:v>Spring Boot</x:v>
      </x:c>
      <x:c r="G277" s="37" t="str">
        <x:v>単体テスト</x:v>
      </x:c>
      <x:c r="H277" s="37" t="str">
        <x:v>PG-04</x:v>
      </x:c>
      <x:c r="I277" s="37" t="str">
        <x:v>Project Leader</x:v>
      </x:c>
      <x:c r="J277" s="37" t="str">
        <x:v>WP-056-CD</x:v>
      </x:c>
      <x:c r="K277" s="37" t="n">
        <x:v>21</x:v>
      </x:c>
      <x:c r="L277" s="37" t="n">
        <x:v>1</x:v>
      </x:c>
      <x:c r="M277" s="37" t="n">
        <x:v>3</x:v>
      </x:c>
      <x:c r="N277" s="38" t="n">
        <x:v>46436</x:v>
      </x:c>
      <x:c r="O277" s="38" t="n">
        <x:v>46440</x:v>
      </x:c>
      <x:c r="P277" s="38"/>
      <x:c r="Q277" s="38"/>
      <x:c r="R277" s="37" t="str">
        <x:v>未着手</x:v>
      </x:c>
      <x:c r="S277" s="40" t="n">
        <x:f>IF(R277="完了",1,IF(R277="修正中",0.8,IF(R277="Review待ち",0.7,IF(R277="作業中",0.3,0))))</x:f>
        <x:v>0</x:v>
      </x:c>
      <x:c r="T277" s="37" t="str">
        <x:f>IF(AND(R277&lt;&gt;"完了",TODAY()&gt;O277),"遅延","")</x:f>
      </x:c>
      <x:c r="U277" s="37" t="str">
        <x:v>API-TASK-009 単体テスト仕様書・証跡</x:v>
      </x:c>
      <x:c r="V277" s="37" t="str"/>
    </x:row>
    <x:row r="278">
      <x:c r="A278" s="37" t="str">
        <x:v>WP-057-UT</x:v>
      </x:c>
      <x:c r="B278" s="37" t="str">
        <x:v>WP-057</x:v>
      </x:c>
      <x:c r="C278" s="37" t="str">
        <x:v>API-TASK-010</x:v>
      </x:c>
      <x:c r="D278" s="37" t="str">
        <x:v>添付取得</x:v>
      </x:c>
      <x:c r="E278" s="37" t="str">
        <x:v>API</x:v>
      </x:c>
      <x:c r="F278" s="37" t="str">
        <x:v>Spring Boot</x:v>
      </x:c>
      <x:c r="G278" s="37" t="str">
        <x:v>単体テスト</x:v>
      </x:c>
      <x:c r="H278" s="37" t="str">
        <x:v>PG-04</x:v>
      </x:c>
      <x:c r="I278" s="37" t="str">
        <x:v>Project Leader</x:v>
      </x:c>
      <x:c r="J278" s="37" t="str">
        <x:v>WP-057-CD</x:v>
      </x:c>
      <x:c r="K278" s="37" t="n">
        <x:v>21</x:v>
      </x:c>
      <x:c r="L278" s="37" t="n">
        <x:v>1</x:v>
      </x:c>
      <x:c r="M278" s="37" t="n">
        <x:v>3</x:v>
      </x:c>
      <x:c r="N278" s="38" t="n">
        <x:v>46442</x:v>
      </x:c>
      <x:c r="O278" s="38" t="n">
        <x:v>46444</x:v>
      </x:c>
      <x:c r="P278" s="38"/>
      <x:c r="Q278" s="38"/>
      <x:c r="R278" s="37" t="str">
        <x:v>未着手</x:v>
      </x:c>
      <x:c r="S278" s="40" t="n">
        <x:f>IF(R278="完了",1,IF(R278="修正中",0.8,IF(R278="Review待ち",0.7,IF(R278="作業中",0.3,0))))</x:f>
        <x:v>0</x:v>
      </x:c>
      <x:c r="T278" s="37" t="str">
        <x:f>IF(AND(R278&lt;&gt;"完了",TODAY()&gt;O278),"遅延","")</x:f>
      </x:c>
      <x:c r="U278" s="37" t="str">
        <x:v>API-TASK-010 単体テスト仕様書・証跡</x:v>
      </x:c>
      <x:c r="V278" s="37" t="str"/>
    </x:row>
    <x:row r="279">
      <x:c r="A279" s="37" t="str">
        <x:v>WP-058-UT</x:v>
      </x:c>
      <x:c r="B279" s="37" t="str">
        <x:v>WP-058</x:v>
      </x:c>
      <x:c r="C279" s="37" t="str">
        <x:v>API-TASK-011</x:v>
      </x:c>
      <x:c r="D279" s="37" t="str">
        <x:v>添付削除</x:v>
      </x:c>
      <x:c r="E279" s="37" t="str">
        <x:v>API</x:v>
      </x:c>
      <x:c r="F279" s="37" t="str">
        <x:v>Spring Boot</x:v>
      </x:c>
      <x:c r="G279" s="37" t="str">
        <x:v>単体テスト</x:v>
      </x:c>
      <x:c r="H279" s="37" t="str">
        <x:v>PG-04</x:v>
      </x:c>
      <x:c r="I279" s="37" t="str">
        <x:v>Project Leader</x:v>
      </x:c>
      <x:c r="J279" s="37" t="str">
        <x:v>WP-058-CD</x:v>
      </x:c>
      <x:c r="K279" s="37" t="n">
        <x:v>21</x:v>
      </x:c>
      <x:c r="L279" s="37" t="n">
        <x:v>1</x:v>
      </x:c>
      <x:c r="M279" s="37" t="n">
        <x:v>3</x:v>
      </x:c>
      <x:c r="N279" s="38" t="n">
        <x:v>46447</x:v>
      </x:c>
      <x:c r="O279" s="38" t="n">
        <x:v>46449</x:v>
      </x:c>
      <x:c r="P279" s="38"/>
      <x:c r="Q279" s="38"/>
      <x:c r="R279" s="37" t="str">
        <x:v>未着手</x:v>
      </x:c>
      <x:c r="S279" s="40" t="n">
        <x:f>IF(R279="完了",1,IF(R279="修正中",0.8,IF(R279="Review待ち",0.7,IF(R279="作業中",0.3,0))))</x:f>
        <x:v>0</x:v>
      </x:c>
      <x:c r="T279" s="37" t="str">
        <x:f>IF(AND(R279&lt;&gt;"完了",TODAY()&gt;O279),"遅延","")</x:f>
      </x:c>
      <x:c r="U279" s="37" t="str">
        <x:v>API-TASK-011 単体テスト仕様書・証跡</x:v>
      </x:c>
      <x:c r="V279" s="37" t="str"/>
    </x:row>
    <x:row r="280">
      <x:c r="A280" s="37" t="str">
        <x:v>WP-081-UT</x:v>
      </x:c>
      <x:c r="B280" s="37" t="str">
        <x:v>WP-081</x:v>
      </x:c>
      <x:c r="C280" s="37" t="str">
        <x:v>SCR-013-REACT</x:v>
      </x:c>
      <x:c r="D280" s="37" t="str">
        <x:v>タスク一覧画面（React）</x:v>
      </x:c>
      <x:c r="E280" s="37" t="str">
        <x:v>画面</x:v>
      </x:c>
      <x:c r="F280" s="37" t="str">
        <x:v>React</x:v>
      </x:c>
      <x:c r="G280" s="37" t="str">
        <x:v>単体テスト</x:v>
      </x:c>
      <x:c r="H280" s="37" t="str">
        <x:v>PG-04</x:v>
      </x:c>
      <x:c r="I280" s="37" t="str">
        <x:v>Project Leader</x:v>
      </x:c>
      <x:c r="J280" s="37" t="str">
        <x:v>WP-081-CD</x:v>
      </x:c>
      <x:c r="K280" s="37" t="n">
        <x:v>7</x:v>
      </x:c>
      <x:c r="L280" s="37" t="n">
        <x:v>1</x:v>
      </x:c>
      <x:c r="M280" s="37" t="n">
        <x:v>1</x:v>
      </x:c>
      <x:c r="N280" s="38" t="n">
        <x:v>46450</x:v>
      </x:c>
      <x:c r="O280" s="38" t="n">
        <x:v>46450</x:v>
      </x:c>
      <x:c r="P280" s="38"/>
      <x:c r="Q280" s="38"/>
      <x:c r="R280" s="37" t="str">
        <x:v>未着手</x:v>
      </x:c>
      <x:c r="S280" s="40" t="n">
        <x:f>IF(R280="完了",1,IF(R280="修正中",0.8,IF(R280="Review待ち",0.7,IF(R280="作業中",0.3,0))))</x:f>
        <x:v>0</x:v>
      </x:c>
      <x:c r="T280" s="37" t="str">
        <x:f>IF(AND(R280&lt;&gt;"完了",TODAY()&gt;O280),"遅延","")</x:f>
      </x:c>
      <x:c r="U280" s="37" t="str">
        <x:v>SCR-013-REACT 単体テスト仕様書・証跡</x:v>
      </x:c>
      <x:c r="V280" s="37" t="str"/>
    </x:row>
    <x:row r="281">
      <x:c r="A281" s="37" t="str">
        <x:v>WP-082-UT</x:v>
      </x:c>
      <x:c r="B281" s="37" t="str">
        <x:v>WP-082</x:v>
      </x:c>
      <x:c r="C281" s="37" t="str">
        <x:v>SCR-014-REACT</x:v>
      </x:c>
      <x:c r="D281" s="37" t="str">
        <x:v>マイタスク画面（React）</x:v>
      </x:c>
      <x:c r="E281" s="37" t="str">
        <x:v>画面</x:v>
      </x:c>
      <x:c r="F281" s="37" t="str">
        <x:v>React</x:v>
      </x:c>
      <x:c r="G281" s="37" t="str">
        <x:v>単体テスト</x:v>
      </x:c>
      <x:c r="H281" s="37" t="str">
        <x:v>PG-04</x:v>
      </x:c>
      <x:c r="I281" s="37" t="str">
        <x:v>Project Leader</x:v>
      </x:c>
      <x:c r="J281" s="37" t="str">
        <x:v>WP-082-CD</x:v>
      </x:c>
      <x:c r="K281" s="37" t="n">
        <x:v>7</x:v>
      </x:c>
      <x:c r="L281" s="37" t="n">
        <x:v>1</x:v>
      </x:c>
      <x:c r="M281" s="37" t="n">
        <x:v>1</x:v>
      </x:c>
      <x:c r="N281" s="38" t="n">
        <x:v>46451</x:v>
      </x:c>
      <x:c r="O281" s="38" t="n">
        <x:v>46451</x:v>
      </x:c>
      <x:c r="P281" s="38"/>
      <x:c r="Q281" s="38"/>
      <x:c r="R281" s="37" t="str">
        <x:v>未着手</x:v>
      </x:c>
      <x:c r="S281" s="40" t="n">
        <x:f>IF(R281="完了",1,IF(R281="修正中",0.8,IF(R281="Review待ち",0.7,IF(R281="作業中",0.3,0))))</x:f>
        <x:v>0</x:v>
      </x:c>
      <x:c r="T281" s="37" t="str">
        <x:f>IF(AND(R281&lt;&gt;"完了",TODAY()&gt;O281),"遅延","")</x:f>
      </x:c>
      <x:c r="U281" s="37" t="str">
        <x:v>SCR-014-REACT 単体テスト仕様書・証跡</x:v>
      </x:c>
      <x:c r="V281" s="37" t="str"/>
    </x:row>
    <x:row r="282">
      <x:c r="A282" s="37" t="str">
        <x:v>WP-083-UT</x:v>
      </x:c>
      <x:c r="B282" s="37" t="str">
        <x:v>WP-083</x:v>
      </x:c>
      <x:c r="C282" s="37" t="str">
        <x:v>SCR-015-REACT</x:v>
      </x:c>
      <x:c r="D282" s="37" t="str">
        <x:v>タスク登録画面（React）</x:v>
      </x:c>
      <x:c r="E282" s="37" t="str">
        <x:v>画面</x:v>
      </x:c>
      <x:c r="F282" s="37" t="str">
        <x:v>React</x:v>
      </x:c>
      <x:c r="G282" s="37" t="str">
        <x:v>単体テスト</x:v>
      </x:c>
      <x:c r="H282" s="37" t="str">
        <x:v>PG-04</x:v>
      </x:c>
      <x:c r="I282" s="37" t="str">
        <x:v>Project Leader</x:v>
      </x:c>
      <x:c r="J282" s="37" t="str">
        <x:v>WP-083-CD</x:v>
      </x:c>
      <x:c r="K282" s="37" t="n">
        <x:v>14</x:v>
      </x:c>
      <x:c r="L282" s="37" t="n">
        <x:v>1</x:v>
      </x:c>
      <x:c r="M282" s="37" t="n">
        <x:v>2</x:v>
      </x:c>
      <x:c r="N282" s="38" t="n">
        <x:v>46454</x:v>
      </x:c>
      <x:c r="O282" s="38" t="n">
        <x:v>46455</x:v>
      </x:c>
      <x:c r="P282" s="38"/>
      <x:c r="Q282" s="38"/>
      <x:c r="R282" s="37" t="str">
        <x:v>未着手</x:v>
      </x:c>
      <x:c r="S282" s="40" t="n">
        <x:f>IF(R282="完了",1,IF(R282="修正中",0.8,IF(R282="Review待ち",0.7,IF(R282="作業中",0.3,0))))</x:f>
        <x:v>0</x:v>
      </x:c>
      <x:c r="T282" s="37" t="str">
        <x:f>IF(AND(R282&lt;&gt;"完了",TODAY()&gt;O282),"遅延","")</x:f>
      </x:c>
      <x:c r="U282" s="37" t="str">
        <x:v>SCR-015-REACT 単体テスト仕様書・証跡</x:v>
      </x:c>
      <x:c r="V282" s="37" t="str"/>
    </x:row>
    <x:row r="283">
      <x:c r="A283" s="37" t="str">
        <x:v>WP-084-UT</x:v>
      </x:c>
      <x:c r="B283" s="37" t="str">
        <x:v>WP-084</x:v>
      </x:c>
      <x:c r="C283" s="37" t="str">
        <x:v>SCR-016-REACT</x:v>
      </x:c>
      <x:c r="D283" s="37" t="str">
        <x:v>タスク編集画面（React）</x:v>
      </x:c>
      <x:c r="E283" s="37" t="str">
        <x:v>画面</x:v>
      </x:c>
      <x:c r="F283" s="37" t="str">
        <x:v>React</x:v>
      </x:c>
      <x:c r="G283" s="37" t="str">
        <x:v>単体テスト</x:v>
      </x:c>
      <x:c r="H283" s="37" t="str">
        <x:v>PG-04</x:v>
      </x:c>
      <x:c r="I283" s="37" t="str">
        <x:v>Project Leader</x:v>
      </x:c>
      <x:c r="J283" s="37" t="str">
        <x:v>WP-084-CD</x:v>
      </x:c>
      <x:c r="K283" s="37" t="n">
        <x:v>14</x:v>
      </x:c>
      <x:c r="L283" s="37" t="n">
        <x:v>1</x:v>
      </x:c>
      <x:c r="M283" s="37" t="n">
        <x:v>2</x:v>
      </x:c>
      <x:c r="N283" s="38" t="n">
        <x:v>46456</x:v>
      </x:c>
      <x:c r="O283" s="38" t="n">
        <x:v>46457</x:v>
      </x:c>
      <x:c r="P283" s="38"/>
      <x:c r="Q283" s="38"/>
      <x:c r="R283" s="37" t="str">
        <x:v>未着手</x:v>
      </x:c>
      <x:c r="S283" s="40" t="n">
        <x:f>IF(R283="完了",1,IF(R283="修正中",0.8,IF(R283="Review待ち",0.7,IF(R283="作業中",0.3,0))))</x:f>
        <x:v>0</x:v>
      </x:c>
      <x:c r="T283" s="37" t="str">
        <x:f>IF(AND(R283&lt;&gt;"完了",TODAY()&gt;O283),"遅延","")</x:f>
      </x:c>
      <x:c r="U283" s="37" t="str">
        <x:v>SCR-016-REACT 単体テスト仕様書・証跡</x:v>
      </x:c>
      <x:c r="V283" s="37" t="str"/>
    </x:row>
    <x:row r="284">
      <x:c r="A284" s="37" t="str">
        <x:v>WP-085-UT</x:v>
      </x:c>
      <x:c r="B284" s="37" t="str">
        <x:v>WP-085</x:v>
      </x:c>
      <x:c r="C284" s="37" t="str">
        <x:v>SCR-017-REACT</x:v>
      </x:c>
      <x:c r="D284" s="37" t="str">
        <x:v>タスク詳細画面（React）</x:v>
      </x:c>
      <x:c r="E284" s="37" t="str">
        <x:v>画面</x:v>
      </x:c>
      <x:c r="F284" s="37" t="str">
        <x:v>React</x:v>
      </x:c>
      <x:c r="G284" s="37" t="str">
        <x:v>単体テスト</x:v>
      </x:c>
      <x:c r="H284" s="37" t="str">
        <x:v>PG-04</x:v>
      </x:c>
      <x:c r="I284" s="37" t="str">
        <x:v>Project Leader</x:v>
      </x:c>
      <x:c r="J284" s="37" t="str">
        <x:v>WP-085-CD</x:v>
      </x:c>
      <x:c r="K284" s="37" t="n">
        <x:v>21</x:v>
      </x:c>
      <x:c r="L284" s="37" t="n">
        <x:v>1</x:v>
      </x:c>
      <x:c r="M284" s="37" t="n">
        <x:v>3</x:v>
      </x:c>
      <x:c r="N284" s="38" t="n">
        <x:v>46458</x:v>
      </x:c>
      <x:c r="O284" s="38" t="n">
        <x:v>46462</x:v>
      </x:c>
      <x:c r="P284" s="38"/>
      <x:c r="Q284" s="38"/>
      <x:c r="R284" s="37" t="str">
        <x:v>未着手</x:v>
      </x:c>
      <x:c r="S284" s="40" t="n">
        <x:f>IF(R284="完了",1,IF(R284="修正中",0.8,IF(R284="Review待ち",0.7,IF(R284="作業中",0.3,0))))</x:f>
        <x:v>0</x:v>
      </x:c>
      <x:c r="T284" s="37" t="str">
        <x:f>IF(AND(R284&lt;&gt;"完了",TODAY()&gt;O284),"遅延","")</x:f>
      </x:c>
      <x:c r="U284" s="37" t="str">
        <x:v>SCR-017-REACT 単体テスト仕様書・証跡</x:v>
      </x:c>
      <x:c r="V284" s="37" t="str"/>
    </x:row>
    <x:row r="285">
      <x:c r="A285" s="37" t="str">
        <x:v>WP-086-UT</x:v>
      </x:c>
      <x:c r="B285" s="37" t="str">
        <x:v>WP-086</x:v>
      </x:c>
      <x:c r="C285" s="37" t="str">
        <x:v>SCR-018-REACT</x:v>
      </x:c>
      <x:c r="D285" s="37" t="str">
        <x:v>タスクボード画面（React）</x:v>
      </x:c>
      <x:c r="E285" s="37" t="str">
        <x:v>画面</x:v>
      </x:c>
      <x:c r="F285" s="37" t="str">
        <x:v>React</x:v>
      </x:c>
      <x:c r="G285" s="37" t="str">
        <x:v>単体テスト</x:v>
      </x:c>
      <x:c r="H285" s="37" t="str">
        <x:v>PG-04</x:v>
      </x:c>
      <x:c r="I285" s="37" t="str">
        <x:v>Project Leader</x:v>
      </x:c>
      <x:c r="J285" s="37" t="str">
        <x:v>WP-086-CD</x:v>
      </x:c>
      <x:c r="K285" s="37" t="n">
        <x:v>21</x:v>
      </x:c>
      <x:c r="L285" s="37" t="n">
        <x:v>1</x:v>
      </x:c>
      <x:c r="M285" s="37" t="n">
        <x:v>3</x:v>
      </x:c>
      <x:c r="N285" s="38" t="n">
        <x:v>46463</x:v>
      </x:c>
      <x:c r="O285" s="38" t="n">
        <x:v>46465</x:v>
      </x:c>
      <x:c r="P285" s="38"/>
      <x:c r="Q285" s="38"/>
      <x:c r="R285" s="37" t="str">
        <x:v>未着手</x:v>
      </x:c>
      <x:c r="S285" s="40" t="n">
        <x:f>IF(R285="完了",1,IF(R285="修正中",0.8,IF(R285="Review待ち",0.7,IF(R285="作業中",0.3,0))))</x:f>
        <x:v>0</x:v>
      </x:c>
      <x:c r="T285" s="37" t="str">
        <x:f>IF(AND(R285&lt;&gt;"完了",TODAY()&gt;O285),"遅延","")</x:f>
      </x:c>
      <x:c r="U285" s="37" t="str">
        <x:v>SCR-018-REACT 単体テスト仕様書・証跡</x:v>
      </x:c>
      <x:c r="V285" s="37" t="str"/>
    </x:row>
    <x:row r="286">
      <x:c r="A286" s="37" t="str">
        <x:v>WP-006-UT</x:v>
      </x:c>
      <x:c r="B286" s="37" t="str">
        <x:v>WP-006</x:v>
      </x:c>
      <x:c r="C286" s="37" t="str">
        <x:v>COM-REDIS-001</x:v>
      </x:c>
      <x:c r="D286" s="37" t="str">
        <x:v>Redis共通処理</x:v>
      </x:c>
      <x:c r="E286" s="37" t="str">
        <x:v>共通</x:v>
      </x:c>
      <x:c r="F286" s="37" t="str">
        <x:v>Backend/共通</x:v>
      </x:c>
      <x:c r="G286" s="37" t="str">
        <x:v>単体テスト</x:v>
      </x:c>
      <x:c r="H286" s="37" t="str">
        <x:v>PG-05</x:v>
      </x:c>
      <x:c r="I286" s="37" t="str">
        <x:v>Project Leader</x:v>
      </x:c>
      <x:c r="J286" s="37" t="str">
        <x:v>WP-006-CD</x:v>
      </x:c>
      <x:c r="K286" s="37" t="n">
        <x:v>14</x:v>
      </x:c>
      <x:c r="L286" s="37" t="n">
        <x:v>1</x:v>
      </x:c>
      <x:c r="M286" s="37" t="n">
        <x:v>2</x:v>
      </x:c>
      <x:c r="N286" s="38" t="n">
        <x:v>46413</x:v>
      </x:c>
      <x:c r="O286" s="38" t="n">
        <x:v>46414</x:v>
      </x:c>
      <x:c r="P286" s="38"/>
      <x:c r="Q286" s="38"/>
      <x:c r="R286" s="37" t="str">
        <x:v>未着手</x:v>
      </x:c>
      <x:c r="S286" s="40" t="n">
        <x:f>IF(R286="完了",1,IF(R286="修正中",0.8,IF(R286="Review待ち",0.7,IF(R286="作業中",0.3,0))))</x:f>
        <x:v>0</x:v>
      </x:c>
      <x:c r="T286" s="37" t="str">
        <x:f>IF(AND(R286&lt;&gt;"完了",TODAY()&gt;O286),"遅延","")</x:f>
      </x:c>
      <x:c r="U286" s="37" t="str">
        <x:v>COM-REDIS-001 単体テスト仕様書・証跡</x:v>
      </x:c>
      <x:c r="V286" s="37" t="str"/>
    </x:row>
    <x:row r="287">
      <x:c r="A287" s="37" t="str">
        <x:v>WP-059-UT</x:v>
      </x:c>
      <x:c r="B287" s="37" t="str">
        <x:v>WP-059</x:v>
      </x:c>
      <x:c r="C287" s="37" t="str">
        <x:v>API-RPT-001</x:v>
      </x:c>
      <x:c r="D287" s="37" t="str">
        <x:v>日報検索</x:v>
      </x:c>
      <x:c r="E287" s="37" t="str">
        <x:v>API</x:v>
      </x:c>
      <x:c r="F287" s="37" t="str">
        <x:v>Spring Boot</x:v>
      </x:c>
      <x:c r="G287" s="37" t="str">
        <x:v>単体テスト</x:v>
      </x:c>
      <x:c r="H287" s="37" t="str">
        <x:v>PG-05</x:v>
      </x:c>
      <x:c r="I287" s="37" t="str">
        <x:v>Project Leader</x:v>
      </x:c>
      <x:c r="J287" s="37" t="str">
        <x:v>WP-059-CD</x:v>
      </x:c>
      <x:c r="K287" s="37" t="n">
        <x:v>7</x:v>
      </x:c>
      <x:c r="L287" s="37" t="n">
        <x:v>1</x:v>
      </x:c>
      <x:c r="M287" s="37" t="n">
        <x:v>1</x:v>
      </x:c>
      <x:c r="N287" s="38" t="n">
        <x:v>46415</x:v>
      </x:c>
      <x:c r="O287" s="38" t="n">
        <x:v>46415</x:v>
      </x:c>
      <x:c r="P287" s="38"/>
      <x:c r="Q287" s="38"/>
      <x:c r="R287" s="37" t="str">
        <x:v>未着手</x:v>
      </x:c>
      <x:c r="S287" s="40" t="n">
        <x:f>IF(R287="完了",1,IF(R287="修正中",0.8,IF(R287="Review待ち",0.7,IF(R287="作業中",0.3,0))))</x:f>
        <x:v>0</x:v>
      </x:c>
      <x:c r="T287" s="37" t="str">
        <x:f>IF(AND(R287&lt;&gt;"完了",TODAY()&gt;O287),"遅延","")</x:f>
      </x:c>
      <x:c r="U287" s="37" t="str">
        <x:v>API-RPT-001 単体テスト仕様書・証跡</x:v>
      </x:c>
      <x:c r="V287" s="37" t="str"/>
    </x:row>
    <x:row r="288">
      <x:c r="A288" s="37" t="str">
        <x:v>WP-060-UT</x:v>
      </x:c>
      <x:c r="B288" s="37" t="str">
        <x:v>WP-060</x:v>
      </x:c>
      <x:c r="C288" s="37" t="str">
        <x:v>API-RPT-002</x:v>
      </x:c>
      <x:c r="D288" s="37" t="str">
        <x:v>日報詳細</x:v>
      </x:c>
      <x:c r="E288" s="37" t="str">
        <x:v>API</x:v>
      </x:c>
      <x:c r="F288" s="37" t="str">
        <x:v>Spring Boot</x:v>
      </x:c>
      <x:c r="G288" s="37" t="str">
        <x:v>単体テスト</x:v>
      </x:c>
      <x:c r="H288" s="37" t="str">
        <x:v>PG-05</x:v>
      </x:c>
      <x:c r="I288" s="37" t="str">
        <x:v>Project Leader</x:v>
      </x:c>
      <x:c r="J288" s="37" t="str">
        <x:v>WP-060-CD</x:v>
      </x:c>
      <x:c r="K288" s="37" t="n">
        <x:v>7</x:v>
      </x:c>
      <x:c r="L288" s="37" t="n">
        <x:v>1</x:v>
      </x:c>
      <x:c r="M288" s="37" t="n">
        <x:v>1</x:v>
      </x:c>
      <x:c r="N288" s="38" t="n">
        <x:v>46416</x:v>
      </x:c>
      <x:c r="O288" s="38" t="n">
        <x:v>46416</x:v>
      </x:c>
      <x:c r="P288" s="38"/>
      <x:c r="Q288" s="38"/>
      <x:c r="R288" s="37" t="str">
        <x:v>未着手</x:v>
      </x:c>
      <x:c r="S288" s="40" t="n">
        <x:f>IF(R288="完了",1,IF(R288="修正中",0.8,IF(R288="Review待ち",0.7,IF(R288="作業中",0.3,0))))</x:f>
        <x:v>0</x:v>
      </x:c>
      <x:c r="T288" s="37" t="str">
        <x:f>IF(AND(R288&lt;&gt;"完了",TODAY()&gt;O288),"遅延","")</x:f>
      </x:c>
      <x:c r="U288" s="37" t="str">
        <x:v>API-RPT-002 単体テスト仕様書・証跡</x:v>
      </x:c>
      <x:c r="V288" s="37" t="str"/>
    </x:row>
    <x:row r="289">
      <x:c r="A289" s="37" t="str">
        <x:v>WP-061-UT</x:v>
      </x:c>
      <x:c r="B289" s="37" t="str">
        <x:v>WP-061</x:v>
      </x:c>
      <x:c r="C289" s="37" t="str">
        <x:v>API-RPT-003</x:v>
      </x:c>
      <x:c r="D289" s="37" t="str">
        <x:v>日報登録</x:v>
      </x:c>
      <x:c r="E289" s="37" t="str">
        <x:v>API</x:v>
      </x:c>
      <x:c r="F289" s="37" t="str">
        <x:v>Spring Boot</x:v>
      </x:c>
      <x:c r="G289" s="37" t="str">
        <x:v>単体テスト</x:v>
      </x:c>
      <x:c r="H289" s="37" t="str">
        <x:v>PG-05</x:v>
      </x:c>
      <x:c r="I289" s="37" t="str">
        <x:v>Project Leader</x:v>
      </x:c>
      <x:c r="J289" s="37" t="str">
        <x:v>WP-061-CD</x:v>
      </x:c>
      <x:c r="K289" s="37" t="n">
        <x:v>14</x:v>
      </x:c>
      <x:c r="L289" s="37" t="n">
        <x:v>1</x:v>
      </x:c>
      <x:c r="M289" s="37" t="n">
        <x:v>2</x:v>
      </x:c>
      <x:c r="N289" s="38" t="n">
        <x:v>46419</x:v>
      </x:c>
      <x:c r="O289" s="38" t="n">
        <x:v>46420</x:v>
      </x:c>
      <x:c r="P289" s="38"/>
      <x:c r="Q289" s="38"/>
      <x:c r="R289" s="37" t="str">
        <x:v>未着手</x:v>
      </x:c>
      <x:c r="S289" s="40" t="n">
        <x:f>IF(R289="完了",1,IF(R289="修正中",0.8,IF(R289="Review待ち",0.7,IF(R289="作業中",0.3,0))))</x:f>
        <x:v>0</x:v>
      </x:c>
      <x:c r="T289" s="37" t="str">
        <x:f>IF(AND(R289&lt;&gt;"完了",TODAY()&gt;O289),"遅延","")</x:f>
      </x:c>
      <x:c r="U289" s="37" t="str">
        <x:v>API-RPT-003 単体テスト仕様書・証跡</x:v>
      </x:c>
      <x:c r="V289" s="37" t="str"/>
    </x:row>
    <x:row r="290">
      <x:c r="A290" s="37" t="str">
        <x:v>WP-062-UT</x:v>
      </x:c>
      <x:c r="B290" s="37" t="str">
        <x:v>WP-062</x:v>
      </x:c>
      <x:c r="C290" s="37" t="str">
        <x:v>API-RPT-004</x:v>
      </x:c>
      <x:c r="D290" s="37" t="str">
        <x:v>日報更新</x:v>
      </x:c>
      <x:c r="E290" s="37" t="str">
        <x:v>API</x:v>
      </x:c>
      <x:c r="F290" s="37" t="str">
        <x:v>Spring Boot</x:v>
      </x:c>
      <x:c r="G290" s="37" t="str">
        <x:v>単体テスト</x:v>
      </x:c>
      <x:c r="H290" s="37" t="str">
        <x:v>PG-05</x:v>
      </x:c>
      <x:c r="I290" s="37" t="str">
        <x:v>Project Leader</x:v>
      </x:c>
      <x:c r="J290" s="37" t="str">
        <x:v>WP-062-CD</x:v>
      </x:c>
      <x:c r="K290" s="37" t="n">
        <x:v>14</x:v>
      </x:c>
      <x:c r="L290" s="37" t="n">
        <x:v>1</x:v>
      </x:c>
      <x:c r="M290" s="37" t="n">
        <x:v>2</x:v>
      </x:c>
      <x:c r="N290" s="38" t="n">
        <x:v>46421</x:v>
      </x:c>
      <x:c r="O290" s="38" t="n">
        <x:v>46422</x:v>
      </x:c>
      <x:c r="P290" s="38"/>
      <x:c r="Q290" s="38"/>
      <x:c r="R290" s="37" t="str">
        <x:v>未着手</x:v>
      </x:c>
      <x:c r="S290" s="40" t="n">
        <x:f>IF(R290="完了",1,IF(R290="修正中",0.8,IF(R290="Review待ち",0.7,IF(R290="作業中",0.3,0))))</x:f>
        <x:v>0</x:v>
      </x:c>
      <x:c r="T290" s="37" t="str">
        <x:f>IF(AND(R290&lt;&gt;"完了",TODAY()&gt;O290),"遅延","")</x:f>
      </x:c>
      <x:c r="U290" s="37" t="str">
        <x:v>API-RPT-004 単体テスト仕様書・証跡</x:v>
      </x:c>
      <x:c r="V290" s="37" t="str"/>
    </x:row>
    <x:row r="291">
      <x:c r="A291" s="37" t="str">
        <x:v>WP-063-UT</x:v>
      </x:c>
      <x:c r="B291" s="37" t="str">
        <x:v>WP-063</x:v>
      </x:c>
      <x:c r="C291" s="37" t="str">
        <x:v>API-RPT-005</x:v>
      </x:c>
      <x:c r="D291" s="37" t="str">
        <x:v>日報削除</x:v>
      </x:c>
      <x:c r="E291" s="37" t="str">
        <x:v>API</x:v>
      </x:c>
      <x:c r="F291" s="37" t="str">
        <x:v>Spring Boot</x:v>
      </x:c>
      <x:c r="G291" s="37" t="str">
        <x:v>単体テスト</x:v>
      </x:c>
      <x:c r="H291" s="37" t="str">
        <x:v>PG-05</x:v>
      </x:c>
      <x:c r="I291" s="37" t="str">
        <x:v>Project Leader</x:v>
      </x:c>
      <x:c r="J291" s="37" t="str">
        <x:v>WP-063-CD</x:v>
      </x:c>
      <x:c r="K291" s="37" t="n">
        <x:v>14</x:v>
      </x:c>
      <x:c r="L291" s="37" t="n">
        <x:v>1</x:v>
      </x:c>
      <x:c r="M291" s="37" t="n">
        <x:v>2</x:v>
      </x:c>
      <x:c r="N291" s="38" t="n">
        <x:v>46423</x:v>
      </x:c>
      <x:c r="O291" s="38" t="n">
        <x:v>46426</x:v>
      </x:c>
      <x:c r="P291" s="38"/>
      <x:c r="Q291" s="38"/>
      <x:c r="R291" s="37" t="str">
        <x:v>未着手</x:v>
      </x:c>
      <x:c r="S291" s="40" t="n">
        <x:f>IF(R291="完了",1,IF(R291="修正中",0.8,IF(R291="Review待ち",0.7,IF(R291="作業中",0.3,0))))</x:f>
        <x:v>0</x:v>
      </x:c>
      <x:c r="T291" s="37" t="str">
        <x:f>IF(AND(R291&lt;&gt;"完了",TODAY()&gt;O291),"遅延","")</x:f>
      </x:c>
      <x:c r="U291" s="37" t="str">
        <x:v>API-RPT-005 単体テスト仕様書・証跡</x:v>
      </x:c>
      <x:c r="V291" s="37" t="str"/>
    </x:row>
    <x:row r="292">
      <x:c r="A292" s="37" t="str">
        <x:v>WP-064-UT</x:v>
      </x:c>
      <x:c r="B292" s="37" t="str">
        <x:v>WP-064</x:v>
      </x:c>
      <x:c r="C292" s="37" t="str">
        <x:v>API-RPT-006</x:v>
      </x:c>
      <x:c r="D292" s="37" t="str">
        <x:v>未提出者検索</x:v>
      </x:c>
      <x:c r="E292" s="37" t="str">
        <x:v>API</x:v>
      </x:c>
      <x:c r="F292" s="37" t="str">
        <x:v>Spring Boot</x:v>
      </x:c>
      <x:c r="G292" s="37" t="str">
        <x:v>単体テスト</x:v>
      </x:c>
      <x:c r="H292" s="37" t="str">
        <x:v>PG-05</x:v>
      </x:c>
      <x:c r="I292" s="37" t="str">
        <x:v>Project Leader</x:v>
      </x:c>
      <x:c r="J292" s="37" t="str">
        <x:v>WP-064-CD</x:v>
      </x:c>
      <x:c r="K292" s="37" t="n">
        <x:v>7</x:v>
      </x:c>
      <x:c r="L292" s="37" t="n">
        <x:v>1</x:v>
      </x:c>
      <x:c r="M292" s="37" t="n">
        <x:v>1</x:v>
      </x:c>
      <x:c r="N292" s="38" t="n">
        <x:v>46427</x:v>
      </x:c>
      <x:c r="O292" s="38" t="n">
        <x:v>46427</x:v>
      </x:c>
      <x:c r="P292" s="38"/>
      <x:c r="Q292" s="38"/>
      <x:c r="R292" s="37" t="str">
        <x:v>未着手</x:v>
      </x:c>
      <x:c r="S292" s="40" t="n">
        <x:f>IF(R292="完了",1,IF(R292="修正中",0.8,IF(R292="Review待ち",0.7,IF(R292="作業中",0.3,0))))</x:f>
        <x:v>0</x:v>
      </x:c>
      <x:c r="T292" s="37" t="str">
        <x:f>IF(AND(R292&lt;&gt;"完了",TODAY()&gt;O292),"遅延","")</x:f>
      </x:c>
      <x:c r="U292" s="37" t="str">
        <x:v>API-RPT-006 単体テスト仕様書・証跡</x:v>
      </x:c>
      <x:c r="V292" s="37" t="str"/>
    </x:row>
    <x:row r="293">
      <x:c r="A293" s="37" t="str">
        <x:v>WP-065-UT</x:v>
      </x:c>
      <x:c r="B293" s="37" t="str">
        <x:v>WP-065</x:v>
      </x:c>
      <x:c r="C293" s="37" t="str">
        <x:v>API-NTF-001</x:v>
      </x:c>
      <x:c r="D293" s="37" t="str">
        <x:v>通知一覧</x:v>
      </x:c>
      <x:c r="E293" s="37" t="str">
        <x:v>API</x:v>
      </x:c>
      <x:c r="F293" s="37" t="str">
        <x:v>Spring Boot</x:v>
      </x:c>
      <x:c r="G293" s="37" t="str">
        <x:v>単体テスト</x:v>
      </x:c>
      <x:c r="H293" s="37" t="str">
        <x:v>PG-05</x:v>
      </x:c>
      <x:c r="I293" s="37" t="str">
        <x:v>Project Leader</x:v>
      </x:c>
      <x:c r="J293" s="37" t="str">
        <x:v>WP-065-CD</x:v>
      </x:c>
      <x:c r="K293" s="37" t="n">
        <x:v>7</x:v>
      </x:c>
      <x:c r="L293" s="37" t="n">
        <x:v>1</x:v>
      </x:c>
      <x:c r="M293" s="37" t="n">
        <x:v>1</x:v>
      </x:c>
      <x:c r="N293" s="38" t="n">
        <x:v>46428</x:v>
      </x:c>
      <x:c r="O293" s="38" t="n">
        <x:v>46428</x:v>
      </x:c>
      <x:c r="P293" s="38"/>
      <x:c r="Q293" s="38"/>
      <x:c r="R293" s="37" t="str">
        <x:v>未着手</x:v>
      </x:c>
      <x:c r="S293" s="40" t="n">
        <x:f>IF(R293="完了",1,IF(R293="修正中",0.8,IF(R293="Review待ち",0.7,IF(R293="作業中",0.3,0))))</x:f>
        <x:v>0</x:v>
      </x:c>
      <x:c r="T293" s="37" t="str">
        <x:f>IF(AND(R293&lt;&gt;"完了",TODAY()&gt;O293),"遅延","")</x:f>
      </x:c>
      <x:c r="U293" s="37" t="str">
        <x:v>API-NTF-001 単体テスト仕様書・証跡</x:v>
      </x:c>
      <x:c r="V293" s="37" t="str"/>
    </x:row>
    <x:row r="294">
      <x:c r="A294" s="37" t="str">
        <x:v>WP-066-UT</x:v>
      </x:c>
      <x:c r="B294" s="37" t="str">
        <x:v>WP-066</x:v>
      </x:c>
      <x:c r="C294" s="37" t="str">
        <x:v>API-NTF-002</x:v>
      </x:c>
      <x:c r="D294" s="37" t="str">
        <x:v>未読件数</x:v>
      </x:c>
      <x:c r="E294" s="37" t="str">
        <x:v>API</x:v>
      </x:c>
      <x:c r="F294" s="37" t="str">
        <x:v>Spring Boot</x:v>
      </x:c>
      <x:c r="G294" s="37" t="str">
        <x:v>単体テスト</x:v>
      </x:c>
      <x:c r="H294" s="37" t="str">
        <x:v>PG-05</x:v>
      </x:c>
      <x:c r="I294" s="37" t="str">
        <x:v>Project Leader</x:v>
      </x:c>
      <x:c r="J294" s="37" t="str">
        <x:v>WP-066-CD</x:v>
      </x:c>
      <x:c r="K294" s="37" t="n">
        <x:v>7</x:v>
      </x:c>
      <x:c r="L294" s="37" t="n">
        <x:v>1</x:v>
      </x:c>
      <x:c r="M294" s="37" t="n">
        <x:v>1</x:v>
      </x:c>
      <x:c r="N294" s="38" t="n">
        <x:v>46430</x:v>
      </x:c>
      <x:c r="O294" s="38" t="n">
        <x:v>46430</x:v>
      </x:c>
      <x:c r="P294" s="38"/>
      <x:c r="Q294" s="38"/>
      <x:c r="R294" s="37" t="str">
        <x:v>未着手</x:v>
      </x:c>
      <x:c r="S294" s="40" t="n">
        <x:f>IF(R294="完了",1,IF(R294="修正中",0.8,IF(R294="Review待ち",0.7,IF(R294="作業中",0.3,0))))</x:f>
        <x:v>0</x:v>
      </x:c>
      <x:c r="T294" s="37" t="str">
        <x:f>IF(AND(R294&lt;&gt;"完了",TODAY()&gt;O294),"遅延","")</x:f>
      </x:c>
      <x:c r="U294" s="37" t="str">
        <x:v>API-NTF-002 単体テスト仕様書・証跡</x:v>
      </x:c>
      <x:c r="V294" s="37" t="str"/>
    </x:row>
    <x:row r="295">
      <x:c r="A295" s="37" t="str">
        <x:v>WP-067-UT</x:v>
      </x:c>
      <x:c r="B295" s="37" t="str">
        <x:v>WP-067</x:v>
      </x:c>
      <x:c r="C295" s="37" t="str">
        <x:v>API-NTF-003</x:v>
      </x:c>
      <x:c r="D295" s="37" t="str">
        <x:v>既読化</x:v>
      </x:c>
      <x:c r="E295" s="37" t="str">
        <x:v>API</x:v>
      </x:c>
      <x:c r="F295" s="37" t="str">
        <x:v>Spring Boot</x:v>
      </x:c>
      <x:c r="G295" s="37" t="str">
        <x:v>単体テスト</x:v>
      </x:c>
      <x:c r="H295" s="37" t="str">
        <x:v>PG-05</x:v>
      </x:c>
      <x:c r="I295" s="37" t="str">
        <x:v>Project Leader</x:v>
      </x:c>
      <x:c r="J295" s="37" t="str">
        <x:v>WP-067-CD</x:v>
      </x:c>
      <x:c r="K295" s="37" t="n">
        <x:v>14</x:v>
      </x:c>
      <x:c r="L295" s="37" t="n">
        <x:v>1</x:v>
      </x:c>
      <x:c r="M295" s="37" t="n">
        <x:v>2</x:v>
      </x:c>
      <x:c r="N295" s="38" t="n">
        <x:v>46433</x:v>
      </x:c>
      <x:c r="O295" s="38" t="n">
        <x:v>46434</x:v>
      </x:c>
      <x:c r="P295" s="38"/>
      <x:c r="Q295" s="38"/>
      <x:c r="R295" s="37" t="str">
        <x:v>未着手</x:v>
      </x:c>
      <x:c r="S295" s="40" t="n">
        <x:f>IF(R295="完了",1,IF(R295="修正中",0.8,IF(R295="Review待ち",0.7,IF(R295="作業中",0.3,0))))</x:f>
        <x:v>0</x:v>
      </x:c>
      <x:c r="T295" s="37" t="str">
        <x:f>IF(AND(R295&lt;&gt;"完了",TODAY()&gt;O295),"遅延","")</x:f>
      </x:c>
      <x:c r="U295" s="37" t="str">
        <x:v>API-NTF-003 単体テスト仕様書・証跡</x:v>
      </x:c>
      <x:c r="V295" s="37" t="str"/>
    </x:row>
    <x:row r="296">
      <x:c r="A296" s="37" t="str">
        <x:v>WP-068-UT</x:v>
      </x:c>
      <x:c r="B296" s="37" t="str">
        <x:v>WP-068</x:v>
      </x:c>
      <x:c r="C296" s="37" t="str">
        <x:v>API-NTF-004</x:v>
      </x:c>
      <x:c r="D296" s="37" t="str">
        <x:v>全件既読</x:v>
      </x:c>
      <x:c r="E296" s="37" t="str">
        <x:v>API</x:v>
      </x:c>
      <x:c r="F296" s="37" t="str">
        <x:v>Spring Boot</x:v>
      </x:c>
      <x:c r="G296" s="37" t="str">
        <x:v>単体テスト</x:v>
      </x:c>
      <x:c r="H296" s="37" t="str">
        <x:v>PG-05</x:v>
      </x:c>
      <x:c r="I296" s="37" t="str">
        <x:v>Project Leader</x:v>
      </x:c>
      <x:c r="J296" s="37" t="str">
        <x:v>WP-068-CD</x:v>
      </x:c>
      <x:c r="K296" s="37" t="n">
        <x:v>14</x:v>
      </x:c>
      <x:c r="L296" s="37" t="n">
        <x:v>1</x:v>
      </x:c>
      <x:c r="M296" s="37" t="n">
        <x:v>2</x:v>
      </x:c>
      <x:c r="N296" s="38" t="n">
        <x:v>46435</x:v>
      </x:c>
      <x:c r="O296" s="38" t="n">
        <x:v>46436</x:v>
      </x:c>
      <x:c r="P296" s="38"/>
      <x:c r="Q296" s="38"/>
      <x:c r="R296" s="37" t="str">
        <x:v>未着手</x:v>
      </x:c>
      <x:c r="S296" s="40" t="n">
        <x:f>IF(R296="完了",1,IF(R296="修正中",0.8,IF(R296="Review待ち",0.7,IF(R296="作業中",0.3,0))))</x:f>
        <x:v>0</x:v>
      </x:c>
      <x:c r="T296" s="37" t="str">
        <x:f>IF(AND(R296&lt;&gt;"完了",TODAY()&gt;O296),"遅延","")</x:f>
      </x:c>
      <x:c r="U296" s="37" t="str">
        <x:v>API-NTF-004 単体テスト仕様書・証跡</x:v>
      </x:c>
      <x:c r="V296" s="37" t="str"/>
    </x:row>
    <x:row r="297">
      <x:c r="A297" s="37" t="str">
        <x:v>WP-087-UT</x:v>
      </x:c>
      <x:c r="B297" s="37" t="str">
        <x:v>WP-087</x:v>
      </x:c>
      <x:c r="C297" s="37" t="str">
        <x:v>SCR-019-VUE</x:v>
      </x:c>
      <x:c r="D297" s="37" t="str">
        <x:v>マイ日報画面（Vue）</x:v>
      </x:c>
      <x:c r="E297" s="37" t="str">
        <x:v>画面</x:v>
      </x:c>
      <x:c r="F297" s="37" t="str">
        <x:v>Vue</x:v>
      </x:c>
      <x:c r="G297" s="37" t="str">
        <x:v>単体テスト</x:v>
      </x:c>
      <x:c r="H297" s="37" t="str">
        <x:v>PG-05</x:v>
      </x:c>
      <x:c r="I297" s="37" t="str">
        <x:v>Project Leader</x:v>
      </x:c>
      <x:c r="J297" s="37" t="str">
        <x:v>WP-087-CD</x:v>
      </x:c>
      <x:c r="K297" s="37" t="n">
        <x:v>7</x:v>
      </x:c>
      <x:c r="L297" s="37" t="n">
        <x:v>1</x:v>
      </x:c>
      <x:c r="M297" s="37" t="n">
        <x:v>1</x:v>
      </x:c>
      <x:c r="N297" s="38" t="n">
        <x:v>46437</x:v>
      </x:c>
      <x:c r="O297" s="38" t="n">
        <x:v>46437</x:v>
      </x:c>
      <x:c r="P297" s="38"/>
      <x:c r="Q297" s="38"/>
      <x:c r="R297" s="37" t="str">
        <x:v>未着手</x:v>
      </x:c>
      <x:c r="S297" s="40" t="n">
        <x:f>IF(R297="完了",1,IF(R297="修正中",0.8,IF(R297="Review待ち",0.7,IF(R297="作業中",0.3,0))))</x:f>
        <x:v>0</x:v>
      </x:c>
      <x:c r="T297" s="37" t="str">
        <x:f>IF(AND(R297&lt;&gt;"完了",TODAY()&gt;O297),"遅延","")</x:f>
      </x:c>
      <x:c r="U297" s="37" t="str">
        <x:v>SCR-019-VUE 単体テスト仕様書・証跡</x:v>
      </x:c>
      <x:c r="V297" s="37" t="str"/>
    </x:row>
    <x:row r="298">
      <x:c r="A298" s="37" t="str">
        <x:v>WP-088-UT</x:v>
      </x:c>
      <x:c r="B298" s="37" t="str">
        <x:v>WP-088</x:v>
      </x:c>
      <x:c r="C298" s="37" t="str">
        <x:v>SCR-020-VUE</x:v>
      </x:c>
      <x:c r="D298" s="37" t="str">
        <x:v>日報登録画面（Vue）</x:v>
      </x:c>
      <x:c r="E298" s="37" t="str">
        <x:v>画面</x:v>
      </x:c>
      <x:c r="F298" s="37" t="str">
        <x:v>Vue</x:v>
      </x:c>
      <x:c r="G298" s="37" t="str">
        <x:v>単体テスト</x:v>
      </x:c>
      <x:c r="H298" s="37" t="str">
        <x:v>PG-05</x:v>
      </x:c>
      <x:c r="I298" s="37" t="str">
        <x:v>Project Leader</x:v>
      </x:c>
      <x:c r="J298" s="37" t="str">
        <x:v>WP-088-CD</x:v>
      </x:c>
      <x:c r="K298" s="37" t="n">
        <x:v>14</x:v>
      </x:c>
      <x:c r="L298" s="37" t="n">
        <x:v>1</x:v>
      </x:c>
      <x:c r="M298" s="37" t="n">
        <x:v>2</x:v>
      </x:c>
      <x:c r="N298" s="38" t="n">
        <x:v>46440</x:v>
      </x:c>
      <x:c r="O298" s="38" t="n">
        <x:v>46442</x:v>
      </x:c>
      <x:c r="P298" s="38"/>
      <x:c r="Q298" s="38"/>
      <x:c r="R298" s="37" t="str">
        <x:v>未着手</x:v>
      </x:c>
      <x:c r="S298" s="40" t="n">
        <x:f>IF(R298="完了",1,IF(R298="修正中",0.8,IF(R298="Review待ち",0.7,IF(R298="作業中",0.3,0))))</x:f>
        <x:v>0</x:v>
      </x:c>
      <x:c r="T298" s="37" t="str">
        <x:f>IF(AND(R298&lt;&gt;"完了",TODAY()&gt;O298),"遅延","")</x:f>
      </x:c>
      <x:c r="U298" s="37" t="str">
        <x:v>SCR-020-VUE 単体テスト仕様書・証跡</x:v>
      </x:c>
      <x:c r="V298" s="37" t="str"/>
    </x:row>
    <x:row r="299">
      <x:c r="A299" s="37" t="str">
        <x:v>WP-089-UT</x:v>
      </x:c>
      <x:c r="B299" s="37" t="str">
        <x:v>WP-089</x:v>
      </x:c>
      <x:c r="C299" s="37" t="str">
        <x:v>SCR-021-VUE</x:v>
      </x:c>
      <x:c r="D299" s="37" t="str">
        <x:v>日報検索画面（Vue）</x:v>
      </x:c>
      <x:c r="E299" s="37" t="str">
        <x:v>画面</x:v>
      </x:c>
      <x:c r="F299" s="37" t="str">
        <x:v>Vue</x:v>
      </x:c>
      <x:c r="G299" s="37" t="str">
        <x:v>単体テスト</x:v>
      </x:c>
      <x:c r="H299" s="37" t="str">
        <x:v>PG-05</x:v>
      </x:c>
      <x:c r="I299" s="37" t="str">
        <x:v>Project Leader</x:v>
      </x:c>
      <x:c r="J299" s="37" t="str">
        <x:v>WP-089-CD</x:v>
      </x:c>
      <x:c r="K299" s="37" t="n">
        <x:v>7</x:v>
      </x:c>
      <x:c r="L299" s="37" t="n">
        <x:v>1</x:v>
      </x:c>
      <x:c r="M299" s="37" t="n">
        <x:v>1</x:v>
      </x:c>
      <x:c r="N299" s="38" t="n">
        <x:v>46443</x:v>
      </x:c>
      <x:c r="O299" s="38" t="n">
        <x:v>46443</x:v>
      </x:c>
      <x:c r="P299" s="38"/>
      <x:c r="Q299" s="38"/>
      <x:c r="R299" s="37" t="str">
        <x:v>未着手</x:v>
      </x:c>
      <x:c r="S299" s="40" t="n">
        <x:f>IF(R299="完了",1,IF(R299="修正中",0.8,IF(R299="Review待ち",0.7,IF(R299="作業中",0.3,0))))</x:f>
        <x:v>0</x:v>
      </x:c>
      <x:c r="T299" s="37" t="str">
        <x:f>IF(AND(R299&lt;&gt;"完了",TODAY()&gt;O299),"遅延","")</x:f>
      </x:c>
      <x:c r="U299" s="37" t="str">
        <x:v>SCR-021-VUE 単体テスト仕様書・証跡</x:v>
      </x:c>
      <x:c r="V299" s="37" t="str"/>
    </x:row>
    <x:row r="300">
      <x:c r="A300" s="37" t="str">
        <x:v>WP-090-UT</x:v>
      </x:c>
      <x:c r="B300" s="37" t="str">
        <x:v>WP-090</x:v>
      </x:c>
      <x:c r="C300" s="37" t="str">
        <x:v>SCR-022-VUE</x:v>
      </x:c>
      <x:c r="D300" s="37" t="str">
        <x:v>通知一覧画面（Vue）</x:v>
      </x:c>
      <x:c r="E300" s="37" t="str">
        <x:v>画面</x:v>
      </x:c>
      <x:c r="F300" s="37" t="str">
        <x:v>Vue</x:v>
      </x:c>
      <x:c r="G300" s="37" t="str">
        <x:v>単体テスト</x:v>
      </x:c>
      <x:c r="H300" s="37" t="str">
        <x:v>PG-05</x:v>
      </x:c>
      <x:c r="I300" s="37" t="str">
        <x:v>Project Leader</x:v>
      </x:c>
      <x:c r="J300" s="37" t="str">
        <x:v>WP-090-CD</x:v>
      </x:c>
      <x:c r="K300" s="37" t="n">
        <x:v>7</x:v>
      </x:c>
      <x:c r="L300" s="37" t="n">
        <x:v>1</x:v>
      </x:c>
      <x:c r="M300" s="37" t="n">
        <x:v>1</x:v>
      </x:c>
      <x:c r="N300" s="38" t="n">
        <x:v>46444</x:v>
      </x:c>
      <x:c r="O300" s="38" t="n">
        <x:v>46444</x:v>
      </x:c>
      <x:c r="P300" s="38"/>
      <x:c r="Q300" s="38"/>
      <x:c r="R300" s="37" t="str">
        <x:v>未着手</x:v>
      </x:c>
      <x:c r="S300" s="40" t="n">
        <x:f>IF(R300="完了",1,IF(R300="修正中",0.8,IF(R300="Review待ち",0.7,IF(R300="作業中",0.3,0))))</x:f>
        <x:v>0</x:v>
      </x:c>
      <x:c r="T300" s="37" t="str">
        <x:f>IF(AND(R300&lt;&gt;"完了",TODAY()&gt;O300),"遅延","")</x:f>
      </x:c>
      <x:c r="U300" s="37" t="str">
        <x:v>SCR-022-VUE 単体テスト仕様書・証跡</x:v>
      </x:c>
      <x:c r="V300" s="37" t="str"/>
    </x:row>
    <x:row r="301">
      <x:c r="A301" s="37" t="str">
        <x:v>WP-095-UT</x:v>
      </x:c>
      <x:c r="B301" s="37" t="str">
        <x:v>WP-095</x:v>
      </x:c>
      <x:c r="C301" s="37" t="str">
        <x:v>BATCH-001</x:v>
      </x:c>
      <x:c r="D301" s="37" t="str">
        <x:v>期限前Task通知</x:v>
      </x:c>
      <x:c r="E301" s="37" t="str">
        <x:v>Batch</x:v>
      </x:c>
      <x:c r="F301" s="37" t="str">
        <x:v>Spring Batch</x:v>
      </x:c>
      <x:c r="G301" s="37" t="str">
        <x:v>単体テスト</x:v>
      </x:c>
      <x:c r="H301" s="37" t="str">
        <x:v>PG-05</x:v>
      </x:c>
      <x:c r="I301" s="37" t="str">
        <x:v>Project Leader</x:v>
      </x:c>
      <x:c r="J301" s="37" t="str">
        <x:v>WP-095-CD</x:v>
      </x:c>
      <x:c r="K301" s="37" t="n">
        <x:v>21</x:v>
      </x:c>
      <x:c r="L301" s="37" t="n">
        <x:v>1</x:v>
      </x:c>
      <x:c r="M301" s="37" t="n">
        <x:v>3</x:v>
      </x:c>
      <x:c r="N301" s="38" t="n">
        <x:v>46447</x:v>
      </x:c>
      <x:c r="O301" s="38" t="n">
        <x:v>46449</x:v>
      </x:c>
      <x:c r="P301" s="38"/>
      <x:c r="Q301" s="38"/>
      <x:c r="R301" s="37" t="str">
        <x:v>未着手</x:v>
      </x:c>
      <x:c r="S301" s="40" t="n">
        <x:f>IF(R301="完了",1,IF(R301="修正中",0.8,IF(R301="Review待ち",0.7,IF(R301="作業中",0.3,0))))</x:f>
        <x:v>0</x:v>
      </x:c>
      <x:c r="T301" s="37" t="str">
        <x:f>IF(AND(R301&lt;&gt;"完了",TODAY()&gt;O301),"遅延","")</x:f>
      </x:c>
      <x:c r="U301" s="37" t="str">
        <x:v>BATCH-001 単体テスト仕様書・証跡</x:v>
      </x:c>
      <x:c r="V301" s="37" t="str"/>
    </x:row>
    <x:row r="302">
      <x:c r="A302" s="37" t="str">
        <x:v>WP-096-UT</x:v>
      </x:c>
      <x:c r="B302" s="37" t="str">
        <x:v>WP-096</x:v>
      </x:c>
      <x:c r="C302" s="37" t="str">
        <x:v>BATCH-002</x:v>
      </x:c>
      <x:c r="D302" s="37" t="str">
        <x:v>遅延Task確認</x:v>
      </x:c>
      <x:c r="E302" s="37" t="str">
        <x:v>Batch</x:v>
      </x:c>
      <x:c r="F302" s="37" t="str">
        <x:v>Spring Batch</x:v>
      </x:c>
      <x:c r="G302" s="37" t="str">
        <x:v>単体テスト</x:v>
      </x:c>
      <x:c r="H302" s="37" t="str">
        <x:v>PG-05</x:v>
      </x:c>
      <x:c r="I302" s="37" t="str">
        <x:v>Project Leader</x:v>
      </x:c>
      <x:c r="J302" s="37" t="str">
        <x:v>WP-096-CD</x:v>
      </x:c>
      <x:c r="K302" s="37" t="n">
        <x:v>21</x:v>
      </x:c>
      <x:c r="L302" s="37" t="n">
        <x:v>1</x:v>
      </x:c>
      <x:c r="M302" s="37" t="n">
        <x:v>3</x:v>
      </x:c>
      <x:c r="N302" s="38" t="n">
        <x:v>46450</x:v>
      </x:c>
      <x:c r="O302" s="38" t="n">
        <x:v>46454</x:v>
      </x:c>
      <x:c r="P302" s="38"/>
      <x:c r="Q302" s="38"/>
      <x:c r="R302" s="37" t="str">
        <x:v>未着手</x:v>
      </x:c>
      <x:c r="S302" s="40" t="n">
        <x:f>IF(R302="完了",1,IF(R302="修正中",0.8,IF(R302="Review待ち",0.7,IF(R302="作業中",0.3,0))))</x:f>
        <x:v>0</x:v>
      </x:c>
      <x:c r="T302" s="37" t="str">
        <x:f>IF(AND(R302&lt;&gt;"完了",TODAY()&gt;O302),"遅延","")</x:f>
      </x:c>
      <x:c r="U302" s="37" t="str">
        <x:v>BATCH-002 単体テスト仕様書・証跡</x:v>
      </x:c>
      <x:c r="V302" s="37" t="str"/>
    </x:row>
    <x:row r="303">
      <x:c r="A303" s="37" t="str">
        <x:v>WP-097-UT</x:v>
      </x:c>
      <x:c r="B303" s="37" t="str">
        <x:v>WP-097</x:v>
      </x:c>
      <x:c r="C303" s="37" t="str">
        <x:v>BATCH-003</x:v>
      </x:c>
      <x:c r="D303" s="37" t="str">
        <x:v>日報未提出通知</x:v>
      </x:c>
      <x:c r="E303" s="37" t="str">
        <x:v>Batch</x:v>
      </x:c>
      <x:c r="F303" s="37" t="str">
        <x:v>Spring Batch</x:v>
      </x:c>
      <x:c r="G303" s="37" t="str">
        <x:v>単体テスト</x:v>
      </x:c>
      <x:c r="H303" s="37" t="str">
        <x:v>PG-05</x:v>
      </x:c>
      <x:c r="I303" s="37" t="str">
        <x:v>Project Leader</x:v>
      </x:c>
      <x:c r="J303" s="37" t="str">
        <x:v>WP-097-CD</x:v>
      </x:c>
      <x:c r="K303" s="37" t="n">
        <x:v>21</x:v>
      </x:c>
      <x:c r="L303" s="37" t="n">
        <x:v>1</x:v>
      </x:c>
      <x:c r="M303" s="37" t="n">
        <x:v>3</x:v>
      </x:c>
      <x:c r="N303" s="38" t="n">
        <x:v>46455</x:v>
      </x:c>
      <x:c r="O303" s="38" t="n">
        <x:v>46457</x:v>
      </x:c>
      <x:c r="P303" s="38"/>
      <x:c r="Q303" s="38"/>
      <x:c r="R303" s="37" t="str">
        <x:v>未着手</x:v>
      </x:c>
      <x:c r="S303" s="40" t="n">
        <x:f>IF(R303="完了",1,IF(R303="修正中",0.8,IF(R303="Review待ち",0.7,IF(R303="作業中",0.3,0))))</x:f>
        <x:v>0</x:v>
      </x:c>
      <x:c r="T303" s="37" t="str">
        <x:f>IF(AND(R303&lt;&gt;"完了",TODAY()&gt;O303),"遅延","")</x:f>
      </x:c>
      <x:c r="U303" s="37" t="str">
        <x:v>BATCH-003 単体テスト仕様書・証跡</x:v>
      </x:c>
      <x:c r="V303" s="37" t="str"/>
    </x:row>
    <x:row r="304">
      <x:c r="A304" s="37" t="str">
        <x:v>WP-098-UT</x:v>
      </x:c>
      <x:c r="B304" s="37" t="str">
        <x:v>WP-098</x:v>
      </x:c>
      <x:c r="C304" s="37" t="str">
        <x:v>BATCH-004</x:v>
      </x:c>
      <x:c r="D304" s="37" t="str">
        <x:v>既読通知削除</x:v>
      </x:c>
      <x:c r="E304" s="37" t="str">
        <x:v>Batch</x:v>
      </x:c>
      <x:c r="F304" s="37" t="str">
        <x:v>Spring Batch</x:v>
      </x:c>
      <x:c r="G304" s="37" t="str">
        <x:v>単体テスト</x:v>
      </x:c>
      <x:c r="H304" s="37" t="str">
        <x:v>PG-05</x:v>
      </x:c>
      <x:c r="I304" s="37" t="str">
        <x:v>Project Leader</x:v>
      </x:c>
      <x:c r="J304" s="37" t="str">
        <x:v>WP-098-CD</x:v>
      </x:c>
      <x:c r="K304" s="37" t="n">
        <x:v>14</x:v>
      </x:c>
      <x:c r="L304" s="37" t="n">
        <x:v>1</x:v>
      </x:c>
      <x:c r="M304" s="37" t="n">
        <x:v>2</x:v>
      </x:c>
      <x:c r="N304" s="38" t="n">
        <x:v>46458</x:v>
      </x:c>
      <x:c r="O304" s="38" t="n">
        <x:v>46461</x:v>
      </x:c>
      <x:c r="P304" s="38"/>
      <x:c r="Q304" s="38"/>
      <x:c r="R304" s="37" t="str">
        <x:v>未着手</x:v>
      </x:c>
      <x:c r="S304" s="40" t="n">
        <x:f>IF(R304="完了",1,IF(R304="修正中",0.8,IF(R304="Review待ち",0.7,IF(R304="作業中",0.3,0))))</x:f>
        <x:v>0</x:v>
      </x:c>
      <x:c r="T304" s="37" t="str">
        <x:f>IF(AND(R304&lt;&gt;"完了",TODAY()&gt;O304),"遅延","")</x:f>
      </x:c>
      <x:c r="U304" s="37" t="str">
        <x:v>BATCH-004 単体テスト仕様書・証跡</x:v>
      </x:c>
      <x:c r="V304" s="37" t="str"/>
    </x:row>
    <x:row r="305">
      <x:c r="A305" s="37" t="str">
        <x:v>WP-099-UT</x:v>
      </x:c>
      <x:c r="B305" s="37" t="str">
        <x:v>WP-099</x:v>
      </x:c>
      <x:c r="C305" s="37" t="str">
        <x:v>BATCH-005</x:v>
      </x:c>
      <x:c r="D305" s="37" t="str">
        <x:v>監査Log削除</x:v>
      </x:c>
      <x:c r="E305" s="37" t="str">
        <x:v>Batch</x:v>
      </x:c>
      <x:c r="F305" s="37" t="str">
        <x:v>Spring Batch</x:v>
      </x:c>
      <x:c r="G305" s="37" t="str">
        <x:v>単体テスト</x:v>
      </x:c>
      <x:c r="H305" s="37" t="str">
        <x:v>PG-05</x:v>
      </x:c>
      <x:c r="I305" s="37" t="str">
        <x:v>Project Leader</x:v>
      </x:c>
      <x:c r="J305" s="37" t="str">
        <x:v>WP-099-CD</x:v>
      </x:c>
      <x:c r="K305" s="37" t="n">
        <x:v>14</x:v>
      </x:c>
      <x:c r="L305" s="37" t="n">
        <x:v>1</x:v>
      </x:c>
      <x:c r="M305" s="37" t="n">
        <x:v>2</x:v>
      </x:c>
      <x:c r="N305" s="38" t="n">
        <x:v>46462</x:v>
      </x:c>
      <x:c r="O305" s="38" t="n">
        <x:v>46463</x:v>
      </x:c>
      <x:c r="P305" s="38"/>
      <x:c r="Q305" s="38"/>
      <x:c r="R305" s="37" t="str">
        <x:v>未着手</x:v>
      </x:c>
      <x:c r="S305" s="40" t="n">
        <x:f>IF(R305="完了",1,IF(R305="修正中",0.8,IF(R305="Review待ち",0.7,IF(R305="作業中",0.3,0))))</x:f>
        <x:v>0</x:v>
      </x:c>
      <x:c r="T305" s="37" t="str">
        <x:f>IF(AND(R305&lt;&gt;"完了",TODAY()&gt;O305),"遅延","")</x:f>
      </x:c>
      <x:c r="U305" s="37" t="str">
        <x:v>BATCH-005 単体テスト仕様書・証跡</x:v>
      </x:c>
      <x:c r="V305" s="37" t="str"/>
    </x:row>
    <x:row r="306">
      <x:c r="A306" s="37" t="str">
        <x:v>WP-100-UT</x:v>
      </x:c>
      <x:c r="B306" s="37" t="str">
        <x:v>WP-100</x:v>
      </x:c>
      <x:c r="C306" s="37" t="str">
        <x:v>BATCH-006</x:v>
      </x:c>
      <x:c r="D306" s="37" t="str">
        <x:v>Refresh Token削除</x:v>
      </x:c>
      <x:c r="E306" s="37" t="str">
        <x:v>Batch</x:v>
      </x:c>
      <x:c r="F306" s="37" t="str">
        <x:v>Spring Batch</x:v>
      </x:c>
      <x:c r="G306" s="37" t="str">
        <x:v>単体テスト</x:v>
      </x:c>
      <x:c r="H306" s="37" t="str">
        <x:v>PG-05</x:v>
      </x:c>
      <x:c r="I306" s="37" t="str">
        <x:v>Project Leader</x:v>
      </x:c>
      <x:c r="J306" s="37" t="str">
        <x:v>WP-100-CD</x:v>
      </x:c>
      <x:c r="K306" s="37" t="n">
        <x:v>14</x:v>
      </x:c>
      <x:c r="L306" s="37" t="n">
        <x:v>1</x:v>
      </x:c>
      <x:c r="M306" s="37" t="n">
        <x:v>2</x:v>
      </x:c>
      <x:c r="N306" s="38" t="n">
        <x:v>46464</x:v>
      </x:c>
      <x:c r="O306" s="38" t="n">
        <x:v>46465</x:v>
      </x:c>
      <x:c r="P306" s="38"/>
      <x:c r="Q306" s="38"/>
      <x:c r="R306" s="37" t="str">
        <x:v>未着手</x:v>
      </x:c>
      <x:c r="S306" s="40" t="n">
        <x:f>IF(R306="完了",1,IF(R306="修正中",0.8,IF(R306="Review待ち",0.7,IF(R306="作業中",0.3,0))))</x:f>
        <x:v>0</x:v>
      </x:c>
      <x:c r="T306" s="37" t="str">
        <x:f>IF(AND(R306&lt;&gt;"完了",TODAY()&gt;O306),"遅延","")</x:f>
      </x:c>
      <x:c r="U306" s="37" t="str">
        <x:v>BATCH-006 単体テスト仕様書・証跡</x:v>
      </x:c>
      <x:c r="V306" s="37" t="str"/>
    </x:row>
  </x:sheetData>
  <x:mergeCells>
    <x:mergeCell ref="A1:N2"/>
    <x:mergeCell ref="A3:N3"/>
  </x:mergeCells>
  <x:conditionalFormatting sqref="T7:T306">
    <x:cfRule type="containsText" dxfId="1" priority="1" operator="containsText" text="遅延"/>
  </x:conditionalFormatting>
  <x:dataValidations count="1">
    <x:dataValidation type="list" sqref="R7:R306">
      <x:formula1>"未着手,作業中,Review待ち,修正中,完了,保留"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3" hidden="0" customWidth="1"/>
    <x:col min="5" max="5" width="12" hidden="0" customWidth="1"/>
    <x:col min="6" max="6" width="14" hidden="0" customWidth="1"/>
    <x:col min="7" max="7" width="13" hidden="0" customWidth="1"/>
    <x:col min="8" max="8" width="14" hidden="0" customWidth="1"/>
    <x:col min="9" max="9" width="12" hidden="0" customWidth="1"/>
    <x:col min="10" max="10" width="12" hidden="0" customWidth="1"/>
    <x:col min="11" max="11" width="11" hidden="0" customWidth="1"/>
    <x:col min="12" max="12" width="10" hidden="0" customWidth="1"/>
    <x:col min="13" max="13" width="45" hidden="0" customWidth="1"/>
  </x:cols>
  <x:sheetData>
    <x:row r="1">
      <x:c r="A1" s="24" t="str">
        <x:v>担当別負荷サマリ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>
        <x:v>工数は詳細設計書単位Taskから自動集計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担当</x:v>
      </x:c>
      <x:c r="B6" s="33" t="str">
        <x:v>WP数</x:v>
      </x:c>
      <x:c r="C6" s="33" t="str">
        <x:v>Task数</x:v>
      </x:c>
      <x:c r="D6" s="33" t="str">
        <x:v>詳細設計(h)</x:v>
      </x:c>
      <x:c r="E6" s="33" t="str">
        <x:v>Coding(h)</x:v>
      </x:c>
      <x:c r="F6" s="33" t="str">
        <x:v>単体テスト(h)</x:v>
      </x:c>
      <x:c r="G6" s="33" t="str">
        <x:v>PG合計(h)</x:v>
      </x:c>
      <x:c r="H6" s="33" t="str">
        <x:v>Review依頼(h)</x:v>
      </x:c>
      <x:c r="I6" s="33" t="str">
        <x:v>計画開始</x:v>
      </x:c>
      <x:c r="J6" s="33" t="str">
        <x:v>計画終了</x:v>
      </x:c>
      <x:c r="K6" s="33" t="str">
        <x:v>完了Task</x:v>
      </x:c>
      <x:c r="L6" s="33" t="str">
        <x:v>進捗率</x:v>
      </x:c>
      <x:c r="M6" s="33" t="str">
        <x:v>主担当範囲</x:v>
      </x:c>
    </x:row>
    <x:row r="7">
      <x:c r="A7" s="37" t="str">
        <x:v>PG-01</x:v>
      </x:c>
      <x:c r="B7" s="37" t="n">
        <x:v>21</x:v>
      </x:c>
      <x:c r="C7" s="37" t="n">
        <x:v>63</x:v>
      </x:c>
      <x:c r="D7" s="37" t="n">
        <x:v>273</x:v>
      </x:c>
      <x:c r="E7" s="37" t="n">
        <x:v>420</x:v>
      </x:c>
      <x:c r="F7" s="37" t="n">
        <x:v>273</x:v>
      </x:c>
      <x:c r="G7" s="37" t="n">
        <x:v>966</x:v>
      </x:c>
      <x:c r="H7" s="37" t="n">
        <x:v>105</x:v>
      </x:c>
      <x:c r="I7" s="38" t="n">
        <x:v>46247</x:v>
      </x:c>
      <x:c r="J7" s="38" t="n">
        <x:v>46470</x:v>
      </x:c>
      <x:c r="K7" s="37" t="n">
        <x:f>COUNTIFS('04_タスクスケジュール'!$H$7:$H$306,A7,'04_タスクスケジュール'!$R$7:$R$306,"完了")</x:f>
        <x:v>0</x:v>
      </x:c>
      <x:c r="L7" s="40" t="n">
        <x:f>IF(C7=0,0,K7/C7)</x:f>
        <x:v>0</x:v>
      </x:c>
      <x:c r="M7" s="37" t="str">
        <x:v>認証・Home・User・Backend共通/Security</x:v>
      </x:c>
    </x:row>
    <x:row r="8">
      <x:c r="A8" s="37" t="str">
        <x:v>PG-02</x:v>
      </x:c>
      <x:c r="B8" s="37" t="n">
        <x:v>18</x:v>
      </x:c>
      <x:c r="C8" s="37" t="n">
        <x:v>54</x:v>
      </x:c>
      <x:c r="D8" s="37" t="n">
        <x:v>245</x:v>
      </x:c>
      <x:c r="E8" s="37" t="n">
        <x:v>371</x:v>
      </x:c>
      <x:c r="F8" s="37" t="n">
        <x:v>245</x:v>
      </x:c>
      <x:c r="G8" s="37" t="n">
        <x:v>861</x:v>
      </x:c>
      <x:c r="H8" s="37" t="n">
        <x:v>90</x:v>
      </x:c>
      <x:c r="I8" s="38" t="n">
        <x:v>46247</x:v>
      </x:c>
      <x:c r="J8" s="38" t="n">
        <x:v>46463</x:v>
      </x:c>
      <x:c r="K8" s="37" t="n">
        <x:f>COUNTIFS('04_タスクスケジュール'!$H$7:$H$306,A8,'04_タスクスケジュール'!$R$7:$R$306,"完了")</x:f>
        <x:v>0</x:v>
      </x:c>
      <x:c r="L8" s="40" t="n">
        <x:f>IF(C8=0,0,K8/C8)</x:f>
        <x:v>0</x:v>
      </x:c>
      <x:c r="M8" s="37" t="str">
        <x:v>従業員・部門・Vue共通</x:v>
      </x:c>
    </x:row>
    <x:row r="9">
      <x:c r="A9" s="37" t="str">
        <x:v>PG-03</x:v>
      </x:c>
      <x:c r="B9" s="37" t="n">
        <x:v>22</x:v>
      </x:c>
      <x:c r="C9" s="37" t="n">
        <x:v>66</x:v>
      </x:c>
      <x:c r="D9" s="37" t="n">
        <x:v>273</x:v>
      </x:c>
      <x:c r="E9" s="37" t="n">
        <x:v>427</x:v>
      </x:c>
      <x:c r="F9" s="37" t="n">
        <x:v>273</x:v>
      </x:c>
      <x:c r="G9" s="37" t="n">
        <x:v>973</x:v>
      </x:c>
      <x:c r="H9" s="37" t="n">
        <x:v>110</x:v>
      </x:c>
      <x:c r="I9" s="38" t="n">
        <x:v>46247</x:v>
      </x:c>
      <x:c r="J9" s="38" t="n">
        <x:v>46470</x:v>
      </x:c>
      <x:c r="K9" s="37" t="n">
        <x:f>COUNTIFS('04_タスクスケジュール'!$H$7:$H$306,A9,'04_タスクスケジュール'!$R$7:$R$306,"完了")</x:f>
        <x:v>0</x:v>
      </x:c>
      <x:c r="L9" s="40" t="n">
        <x:f>IF(C9=0,0,K9/C9)</x:f>
        <x:v>0</x:v>
      </x:c>
      <x:c r="M9" s="37" t="str">
        <x:v>Project・Role・Log・React共通</x:v>
      </x:c>
    </x:row>
    <x:row r="10">
      <x:c r="A10" s="37" t="str">
        <x:v>PG-04</x:v>
      </x:c>
      <x:c r="B10" s="37" t="n">
        <x:v>18</x:v>
      </x:c>
      <x:c r="C10" s="37" t="n">
        <x:v>54</x:v>
      </x:c>
      <x:c r="D10" s="37" t="n">
        <x:v>259</x:v>
      </x:c>
      <x:c r="E10" s="37" t="n">
        <x:v>385</x:v>
      </x:c>
      <x:c r="F10" s="37" t="n">
        <x:v>259</x:v>
      </x:c>
      <x:c r="G10" s="37" t="n">
        <x:v>903</x:v>
      </x:c>
      <x:c r="H10" s="37" t="n">
        <x:v>90</x:v>
      </x:c>
      <x:c r="I10" s="38" t="n">
        <x:v>46247</x:v>
      </x:c>
      <x:c r="J10" s="38" t="n">
        <x:v>46465</x:v>
      </x:c>
      <x:c r="K10" s="37" t="n">
        <x:f>COUNTIFS('04_タスクスケジュール'!$H$7:$H$306,A10,'04_タスクスケジュール'!$R$7:$R$306,"完了")</x:f>
        <x:v>0</x:v>
      </x:c>
      <x:c r="L10" s="40" t="n">
        <x:f>IF(C10=0,0,K10/C10)</x:f>
        <x:v>0</x:v>
      </x:c>
      <x:c r="M10" s="37" t="str">
        <x:v>Task・Comment・File</x:v>
      </x:c>
    </x:row>
    <x:row r="11">
      <x:c r="A11" s="37" t="str">
        <x:v>PG-05</x:v>
      </x:c>
      <x:c r="B11" s="37" t="n">
        <x:v>21</x:v>
      </x:c>
      <x:c r="C11" s="37" t="n">
        <x:v>63</x:v>
      </x:c>
      <x:c r="D11" s="37" t="n">
        <x:v>259</x:v>
      </x:c>
      <x:c r="E11" s="37" t="n">
        <x:v>406</x:v>
      </x:c>
      <x:c r="F11" s="37" t="n">
        <x:v>259</x:v>
      </x:c>
      <x:c r="G11" s="37" t="n">
        <x:v>924</x:v>
      </x:c>
      <x:c r="H11" s="37" t="n">
        <x:v>105</x:v>
      </x:c>
      <x:c r="I11" s="38" t="n">
        <x:v>46247</x:v>
      </x:c>
      <x:c r="J11" s="38" t="n">
        <x:v>46465</x:v>
      </x:c>
      <x:c r="K11" s="37" t="n">
        <x:f>COUNTIFS('04_タスクスケジュール'!$H$7:$H$306,A11,'04_タスクスケジュール'!$R$7:$R$306,"完了")</x:f>
        <x:v>0</x:v>
      </x:c>
      <x:c r="L11" s="40" t="n">
        <x:f>IF(C11=0,0,K11/C11)</x:f>
        <x:v>0</x:v>
      </x:c>
      <x:c r="M11" s="37" t="str">
        <x:v>日報・通知・Batch・Redis</x:v>
      </x:c>
    </x:row>
    <x:row r="13">
      <x:c r="A13" s="33" t="str">
        <x:v>Project全体</x:v>
      </x:c>
      <x:c r="B13" s="33" t="str">
        <x:v>WP数</x:v>
      </x:c>
      <x:c r="C13" s="33" t="str">
        <x:v>Task数</x:v>
      </x:c>
      <x:c r="D13" s="33" t="str">
        <x:v>総工数(h)</x:v>
      </x:c>
    </x:row>
    <x:row r="14">
      <x:c r="A14" s="37" t="str">
        <x:v>合計</x:v>
      </x:c>
      <x:c r="B14" s="37" t="n">
        <x:v>100</x:v>
      </x:c>
      <x:c r="C14" s="37" t="n">
        <x:v>300</x:v>
      </x:c>
      <x:c r="D14" s="37" t="n">
        <x:v>4627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6" hidden="0" customWidth="1"/>
    <x:col min="5" max="5" width="65" hidden="0" customWidth="1"/>
  </x:cols>
  <x:sheetData>
    <x:row r="1">
      <x:c r="A1" s="24" t="str">
        <x:v>マイルストーン・工程Gate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MS ID</x:v>
      </x:c>
      <x:c r="B6" s="33" t="str">
        <x:v>マイルストーン</x:v>
      </x:c>
      <x:c r="C6" s="33" t="str">
        <x:v>計画日</x:v>
      </x:c>
      <x:c r="D6" s="33" t="str">
        <x:v>責任者</x:v>
      </x:c>
      <x:c r="E6" s="33" t="str">
        <x:v>完了条件</x:v>
      </x:c>
    </x:row>
    <x:row r="7">
      <x:c r="A7" s="37" t="str">
        <x:v>MS-001</x:v>
      </x:c>
      <x:c r="B7" s="37" t="str">
        <x:v>Kickoff／担当確定</x:v>
      </x:c>
      <x:c r="C7" s="38" t="n">
        <x:v>46247</x:v>
      </x:c>
      <x:c r="D7" s="37" t="str">
        <x:v>Project Leader</x:v>
      </x:c>
      <x:c r="E7" s="37" t="str">
        <x:v>基本設計Ver.1.8配布・環境準備完了</x:v>
      </x:c>
    </x:row>
    <x:row r="8">
      <x:c r="A8" s="37" t="str">
        <x:v>MS-002</x:v>
      </x:c>
      <x:c r="B8" s="37" t="str">
        <x:v>詳細設計作成完了</x:v>
      </x:c>
      <x:c r="C8" s="38" t="n">
        <x:v>46304</x:v>
      </x:c>
      <x:c r="D8" s="37" t="str">
        <x:v>全員</x:v>
      </x:c>
      <x:c r="E8" s="37" t="str">
        <x:v>126件の詳細設計書提出完了</x:v>
      </x:c>
    </x:row>
    <x:row r="9">
      <x:c r="A9" s="37" t="str">
        <x:v>MS-003</x:v>
      </x:c>
      <x:c r="B9" s="37" t="str">
        <x:v>詳細設計Gate承認</x:v>
      </x:c>
      <x:c r="C9" s="38" t="n">
        <x:v>46314</x:v>
      </x:c>
      <x:c r="D9" s="37" t="str">
        <x:v>Project Leader</x:v>
      </x:c>
      <x:c r="E9" s="37" t="str">
        <x:v>全詳細設計書Review承認・重大指摘0</x:v>
      </x:c>
    </x:row>
    <x:row r="10">
      <x:c r="A10" s="37" t="str">
        <x:v>MS-004</x:v>
      </x:c>
      <x:c r="B10" s="37" t="str">
        <x:v>Coding作業完了</x:v>
      </x:c>
      <x:c r="C10" s="38" t="n">
        <x:v>46405</x:v>
      </x:c>
      <x:c r="D10" s="37" t="str">
        <x:v>全員</x:v>
      </x:c>
      <x:c r="E10" s="37" t="str">
        <x:v>全Source提出・Build/Static Check OK</x:v>
      </x:c>
    </x:row>
    <x:row r="11">
      <x:c r="A11" s="37" t="str">
        <x:v>MS-005</x:v>
      </x:c>
      <x:c r="B11" s="37" t="str">
        <x:v>Coding Gate承認</x:v>
      </x:c>
      <x:c r="C11" s="38" t="n">
        <x:v>46412</x:v>
      </x:c>
      <x:c r="D11" s="37" t="str">
        <x:v>Project Leader</x:v>
      </x:c>
      <x:c r="E11" s="37" t="str">
        <x:v>全Code Review承認・重大指摘0</x:v>
      </x:c>
    </x:row>
    <x:row r="12">
      <x:c r="A12" s="37" t="str">
        <x:v>MS-006</x:v>
      </x:c>
      <x:c r="B12" s="37" t="str">
        <x:v>単体テスト完了</x:v>
      </x:c>
      <x:c r="C12" s="38" t="n">
        <x:v>46470</x:v>
      </x:c>
      <x:c r="D12" s="37" t="str">
        <x:v>全員</x:v>
      </x:c>
      <x:c r="E12" s="37" t="str">
        <x:v>UT全件OK・証跡Review承認・障害Close</x:v>
      </x:c>
    </x:row>
    <x:row r="13">
      <x:c r="A13" s="37" t="str">
        <x:v>MS-007</x:v>
      </x:c>
      <x:c r="B13" s="37" t="str">
        <x:v>結合テスト開始</x:v>
      </x:c>
      <x:c r="C13" s="38" t="n">
        <x:v>46471</x:v>
      </x:c>
      <x:c r="D13" s="37" t="str">
        <x:v>Project Leader</x:v>
      </x:c>
      <x:c r="E13" s="37" t="str">
        <x:v>追跡Matrix・環境・Test Data準備完了</x:v>
      </x:c>
    </x:row>
    <x:row r="14">
      <x:c r="A14" s="37" t="str">
        <x:v>MS-008</x:v>
      </x:c>
      <x:c r="B14" s="37" t="str">
        <x:v>結合テスト完了</x:v>
      </x:c>
      <x:c r="C14" s="38" t="n">
        <x:v>46498</x:v>
      </x:c>
      <x:c r="D14" s="37" t="str">
        <x:v>Project Leader</x:v>
      </x:c>
      <x:c r="E14" s="37" t="str">
        <x:v>必須Case完了・重大障害0・証跡承認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72" hidden="0" customWidth="1"/>
  </x:cols>
  <x:sheetData>
    <x:row r="1">
      <x:c r="A1" s="24" t="str">
        <x:v>休日Calendar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>
        <x:v>土日および内閣府公表の国民の祝日・休日を非稼働日として計画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日付</x:v>
      </x:c>
      <x:c r="B6" s="33" t="str">
        <x:v>名称</x:v>
      </x:c>
      <x:c r="C6" s="33" t="str">
        <x:v>区分</x:v>
      </x:c>
      <x:c r="D6" s="33" t="str">
        <x:v>Source</x:v>
      </x:c>
    </x:row>
    <x:row r="7">
      <x:c r="A7" s="38" t="n">
        <x:v>46286</x:v>
      </x:c>
      <x:c r="B7" s="37" t="str">
        <x:v>敬老の日</x:v>
      </x:c>
      <x:c r="C7" s="37" t="str">
        <x:v>日本祝日/休日</x:v>
      </x:c>
      <x:c r="D7" s="37" t="str">
        <x:v>https://www8.cao.go.jp/chosei/shukujitsu/gaiyou.html</x:v>
      </x:c>
    </x:row>
    <x:row r="8">
      <x:c r="A8" s="38" t="n">
        <x:v>46287</x:v>
      </x:c>
      <x:c r="B8" s="37" t="str">
        <x:v>休日</x:v>
      </x:c>
      <x:c r="C8" s="37" t="str">
        <x:v>日本祝日/休日</x:v>
      </x:c>
      <x:c r="D8" s="37" t="str">
        <x:v>https://www8.cao.go.jp/chosei/shukujitsu/gaiyou.html</x:v>
      </x:c>
    </x:row>
    <x:row r="9">
      <x:c r="A9" s="38" t="n">
        <x:v>46288</x:v>
      </x:c>
      <x:c r="B9" s="37" t="str">
        <x:v>秋分の日</x:v>
      </x:c>
      <x:c r="C9" s="37" t="str">
        <x:v>日本祝日/休日</x:v>
      </x:c>
      <x:c r="D9" s="37" t="str">
        <x:v>https://www8.cao.go.jp/chosei/shukujitsu/gaiyou.html</x:v>
      </x:c>
    </x:row>
    <x:row r="10">
      <x:c r="A10" s="38" t="n">
        <x:v>46307</x:v>
      </x:c>
      <x:c r="B10" s="37" t="str">
        <x:v>スポーツの日</x:v>
      </x:c>
      <x:c r="C10" s="37" t="str">
        <x:v>日本祝日/休日</x:v>
      </x:c>
      <x:c r="D10" s="37" t="str">
        <x:v>https://www8.cao.go.jp/chosei/shukujitsu/gaiyou.html</x:v>
      </x:c>
    </x:row>
    <x:row r="11">
      <x:c r="A11" s="38" t="n">
        <x:v>46329</x:v>
      </x:c>
      <x:c r="B11" s="37" t="str">
        <x:v>文化の日</x:v>
      </x:c>
      <x:c r="C11" s="37" t="str">
        <x:v>日本祝日/休日</x:v>
      </x:c>
      <x:c r="D11" s="37" t="str">
        <x:v>https://www8.cao.go.jp/chosei/shukujitsu/gaiyou.html</x:v>
      </x:c>
    </x:row>
    <x:row r="12">
      <x:c r="A12" s="38" t="n">
        <x:v>46349</x:v>
      </x:c>
      <x:c r="B12" s="37" t="str">
        <x:v>勤労感謝の日</x:v>
      </x:c>
      <x:c r="C12" s="37" t="str">
        <x:v>日本祝日/休日</x:v>
      </x:c>
      <x:c r="D12" s="37" t="str">
        <x:v>https://www8.cao.go.jp/chosei/shukujitsu/gaiyou.html</x:v>
      </x:c>
    </x:row>
    <x:row r="13">
      <x:c r="A13" s="38" t="n">
        <x:v>46388</x:v>
      </x:c>
      <x:c r="B13" s="37" t="str">
        <x:v>元日</x:v>
      </x:c>
      <x:c r="C13" s="37" t="str">
        <x:v>日本祝日/休日</x:v>
      </x:c>
      <x:c r="D13" s="37" t="str">
        <x:v>https://www8.cao.go.jp/chosei/shukujitsu/gaiyou.html</x:v>
      </x:c>
    </x:row>
    <x:row r="14">
      <x:c r="A14" s="38" t="n">
        <x:v>46398</x:v>
      </x:c>
      <x:c r="B14" s="37" t="str">
        <x:v>成人の日</x:v>
      </x:c>
      <x:c r="C14" s="37" t="str">
        <x:v>日本祝日/休日</x:v>
      </x:c>
      <x:c r="D14" s="37" t="str">
        <x:v>https://www8.cao.go.jp/chosei/shukujitsu/gaiyou.html</x:v>
      </x:c>
    </x:row>
    <x:row r="15">
      <x:c r="A15" s="38" t="n">
        <x:v>46429</x:v>
      </x:c>
      <x:c r="B15" s="37" t="str">
        <x:v>建国記念の日</x:v>
      </x:c>
      <x:c r="C15" s="37" t="str">
        <x:v>日本祝日/休日</x:v>
      </x:c>
      <x:c r="D15" s="37" t="str">
        <x:v>https://www8.cao.go.jp/chosei/shukujitsu/gaiyou.html</x:v>
      </x:c>
    </x:row>
    <x:row r="16">
      <x:c r="A16" s="38" t="n">
        <x:v>46441</x:v>
      </x:c>
      <x:c r="B16" s="37" t="str">
        <x:v>天皇誕生日</x:v>
      </x:c>
      <x:c r="C16" s="37" t="str">
        <x:v>日本祝日/休日</x:v>
      </x:c>
      <x:c r="D16" s="37" t="str">
        <x:v>https://www8.cao.go.jp/chosei/shukujitsu/gaiyou.html</x:v>
      </x:c>
    </x:row>
    <x:row r="17">
      <x:c r="A17" s="38" t="n">
        <x:v>46467</x:v>
      </x:c>
      <x:c r="B17" s="37" t="str">
        <x:v>春分の日</x:v>
      </x:c>
      <x:c r="C17" s="37" t="str">
        <x:v>日本祝日/休日</x:v>
      </x:c>
      <x:c r="D17" s="37" t="str">
        <x:v>https://www8.cao.go.jp/chosei/shukujitsu/gaiyou.html</x:v>
      </x:c>
    </x:row>
    <x:row r="18">
      <x:c r="A18" s="38" t="n">
        <x:v>46468</x:v>
      </x:c>
      <x:c r="B18" s="37" t="str">
        <x:v>休日</x:v>
      </x:c>
      <x:c r="C18" s="37" t="str">
        <x:v>日本祝日/休日</x:v>
      </x:c>
      <x:c r="D18" s="37" t="str">
        <x:v>https://www8.cao.go.jp/chosei/shukujitsu/gaiyou.html</x:v>
      </x:c>
    </x:row>
    <x:row r="19">
      <x:c r="A19" s="38" t="n">
        <x:v>46506</x:v>
      </x:c>
      <x:c r="B19" s="37" t="str">
        <x:v>昭和の日</x:v>
      </x:c>
      <x:c r="C19" s="37" t="str">
        <x:v>日本祝日/休日</x:v>
      </x:c>
      <x:c r="D19" s="37" t="str">
        <x:v>https://www8.cao.go.jp/chosei/shukujitsu/gaiyou.html</x:v>
      </x:c>
    </x:row>
    <x:row r="20">
      <x:c r="A20" s="38" t="n">
        <x:v>46510</x:v>
      </x:c>
      <x:c r="B20" s="37" t="str">
        <x:v>憲法記念日</x:v>
      </x:c>
      <x:c r="C20" s="37" t="str">
        <x:v>日本祝日/休日</x:v>
      </x:c>
      <x:c r="D20" s="37" t="str">
        <x:v>https://www8.cao.go.jp/chosei/shukujitsu/gaiyou.html</x:v>
      </x:c>
    </x:row>
    <x:row r="21">
      <x:c r="A21" s="38" t="n">
        <x:v>46511</x:v>
      </x:c>
      <x:c r="B21" s="37" t="str">
        <x:v>みどりの日</x:v>
      </x:c>
      <x:c r="C21" s="37" t="str">
        <x:v>日本祝日/休日</x:v>
      </x:c>
      <x:c r="D21" s="37" t="str">
        <x:v>https://www8.cao.go.jp/chosei/shukujitsu/gaiyou.html</x:v>
      </x:c>
    </x:row>
    <x:row r="22">
      <x:c r="A22" s="38" t="n">
        <x:v>46512</x:v>
      </x:c>
      <x:c r="B22" s="37" t="str">
        <x:v>こどもの日</x:v>
      </x:c>
      <x:c r="C22" s="37" t="str">
        <x:v>日本祝日/休日</x:v>
      </x:c>
      <x:c r="D22" s="37" t="str">
        <x:v>https://www8.cao.go.jp/chosei/shukujitsu/gaiyou.html</x:v>
      </x:c>
    </x:row>
    <x:row r="23">
      <x:c r="A23" s="38" t="n">
        <x:v>46587</x:v>
      </x:c>
      <x:c r="B23" s="37" t="str">
        <x:v>海の日</x:v>
      </x:c>
      <x:c r="C23" s="37" t="str">
        <x:v>日本祝日/休日</x:v>
      </x:c>
      <x:c r="D23" s="37" t="str">
        <x:v>https://www8.cao.go.jp/chosei/shukujitsu/gaiyou.html</x:v>
      </x:c>
    </x:row>
    <x:row r="24">
      <x:c r="A24" s="38" t="n">
        <x:v>46610</x:v>
      </x:c>
      <x:c r="B24" s="37" t="str">
        <x:v>山の日</x:v>
      </x:c>
      <x:c r="C24" s="37" t="str">
        <x:v>日本祝日/休日</x:v>
      </x:c>
      <x:c r="D24" s="37" t="str">
        <x:v>https://www8.cao.go.jp/chosei/shukujitsu/gaiyou.html</x:v>
      </x:c>
    </x:row>
    <x:row r="25">
      <x:c r="A25" s="38" t="n">
        <x:v>46650</x:v>
      </x:c>
      <x:c r="B25" s="37" t="str">
        <x:v>敬老の日</x:v>
      </x:c>
      <x:c r="C25" s="37" t="str">
        <x:v>日本祝日/休日</x:v>
      </x:c>
      <x:c r="D25" s="37" t="str">
        <x:v>https://www8.cao.go.jp/chosei/shukujitsu/gaiyou.html</x:v>
      </x:c>
    </x:row>
    <x:row r="26">
      <x:c r="A26" s="38" t="n">
        <x:v>46653</x:v>
      </x:c>
      <x:c r="B26" s="37" t="str">
        <x:v>秋分の日</x:v>
      </x:c>
      <x:c r="C26" s="37" t="str">
        <x:v>日本祝日/休日</x:v>
      </x:c>
      <x:c r="D26" s="37" t="str">
        <x:v>https://www8.cao.go.jp/chosei/shukujitsu/gaiyou.html</x:v>
      </x:c>
    </x:row>
    <x:row r="27">
      <x:c r="A27" s="38" t="n">
        <x:v>46671</x:v>
      </x:c>
      <x:c r="B27" s="37" t="str">
        <x:v>スポーツの日</x:v>
      </x:c>
      <x:c r="C27" s="37" t="str">
        <x:v>日本祝日/休日</x:v>
      </x:c>
      <x:c r="D27" s="37" t="str">
        <x:v>https://www8.cao.go.jp/chosei/shukujitsu/gaiyou.html</x:v>
      </x:c>
    </x:row>
    <x:row r="28">
      <x:c r="A28" s="38" t="n">
        <x:v>46694</x:v>
      </x:c>
      <x:c r="B28" s="37" t="str">
        <x:v>文化の日</x:v>
      </x:c>
      <x:c r="C28" s="37" t="str">
        <x:v>日本祝日/休日</x:v>
      </x:c>
      <x:c r="D28" s="37" t="str">
        <x:v>https://www8.cao.go.jp/chosei/shukujitsu/gaiyou.html</x:v>
      </x:c>
    </x:row>
    <x:row r="29">
      <x:c r="A29" s="38" t="n">
        <x:v>46714</x:v>
      </x:c>
      <x:c r="B29" s="37" t="str">
        <x:v>勤労感謝の日</x:v>
      </x:c>
      <x:c r="C29" s="37" t="str">
        <x:v>日本祝日/休日</x:v>
      </x:c>
      <x:c r="D29" s="37" t="str">
        <x:v>https://www8.cao.go.jp/chosei/shukujitsu/gaiyou.html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" t="str">
        <x:v>工程ガント（厳格Waterfall）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5">
      <x:c r="A5" s="33" t="str">
        <x:v>担当</x:v>
      </x:c>
      <x:c r="B5" s="33" t="str">
        <x:v>工程</x:v>
      </x:c>
      <x:c r="C5" s="33" t="str">
        <x:v>開始</x:v>
      </x:c>
      <x:c r="D5" s="33" t="str">
        <x:v>終了</x:v>
      </x:c>
      <x:c r="E5" s="41" t="n">
        <x:v>46235</x:v>
      </x:c>
      <x:c r="F5" s="41" t="n">
        <x:v>46266</x:v>
      </x:c>
      <x:c r="G5" s="41" t="n">
        <x:v>46296</x:v>
      </x:c>
      <x:c r="H5" s="41" t="n">
        <x:v>46327</x:v>
      </x:c>
      <x:c r="I5" s="41" t="n">
        <x:v>46357</x:v>
      </x:c>
      <x:c r="J5" s="41" t="n">
        <x:v>46388</x:v>
      </x:c>
      <x:c r="K5" s="41" t="n">
        <x:v>46419</x:v>
      </x:c>
      <x:c r="L5" s="41" t="n">
        <x:v>46447</x:v>
      </x:c>
      <x:c r="M5" s="41" t="n">
        <x:v>46478</x:v>
      </x:c>
    </x:row>
    <x:row r="6">
      <x:c r="A6" s="37" t="str">
        <x:v>PG-01</x:v>
      </x:c>
      <x:c r="B6" s="37" t="str">
        <x:v>詳細設計</x:v>
      </x:c>
      <x:c r="C6" s="38" t="n">
        <x:v>46247</x:v>
      </x:c>
      <x:c r="D6" s="38" t="n">
        <x:v>46304</x:v>
      </x:c>
      <x:c r="E6" s="44" t="str">
        <x:v>■</x:v>
      </x:c>
      <x:c r="F6" s="44" t="str">
        <x:v>■</x:v>
      </x:c>
      <x:c r="G6" s="44" t="str">
        <x:v>■</x:v>
      </x:c>
    </x:row>
    <x:row r="7">
      <x:c r="A7" s="37" t="str">
        <x:v>PG-01</x:v>
      </x:c>
      <x:c r="B7" s="37" t="str">
        <x:v>Coding</x:v>
      </x:c>
      <x:c r="C7" s="38" t="n">
        <x:v>46315</x:v>
      </x:c>
      <x:c r="D7" s="38" t="n">
        <x:v>46402</x:v>
      </x:c>
      <x:c r="G7" s="47" t="str">
        <x:v>■</x:v>
      </x:c>
      <x:c r="H7" s="47" t="str">
        <x:v>■</x:v>
      </x:c>
      <x:c r="I7" s="47" t="str">
        <x:v>■</x:v>
      </x:c>
      <x:c r="J7" s="47" t="str">
        <x:v>■</x:v>
      </x:c>
    </x:row>
    <x:row r="8">
      <x:c r="A8" s="37" t="str">
        <x:v>PG-01</x:v>
      </x:c>
      <x:c r="B8" s="37" t="str">
        <x:v>単体テスト</x:v>
      </x:c>
      <x:c r="C8" s="38" t="n">
        <x:v>46413</x:v>
      </x:c>
      <x:c r="D8" s="38" t="n">
        <x:v>46470</x:v>
      </x:c>
      <x:c r="J8" s="51" t="str">
        <x:v>■</x:v>
      </x:c>
      <x:c r="K8" s="51" t="str">
        <x:v>■</x:v>
      </x:c>
      <x:c r="L8" s="51" t="str">
        <x:v>■</x:v>
      </x:c>
    </x:row>
    <x:row r="9">
      <x:c r="A9" s="37" t="str">
        <x:v>PG-02</x:v>
      </x:c>
      <x:c r="B9" s="37" t="str">
        <x:v>詳細設計</x:v>
      </x:c>
      <x:c r="C9" s="38" t="n">
        <x:v>46247</x:v>
      </x:c>
      <x:c r="D9" s="38" t="n">
        <x:v>46300</x:v>
      </x:c>
      <x:c r="E9" s="44" t="str">
        <x:v>■</x:v>
      </x:c>
      <x:c r="F9" s="44" t="str">
        <x:v>■</x:v>
      </x:c>
      <x:c r="G9" s="44" t="str">
        <x:v>■</x:v>
      </x:c>
    </x:row>
    <x:row r="10">
      <x:c r="A10" s="37" t="str">
        <x:v>PG-02</x:v>
      </x:c>
      <x:c r="B10" s="37" t="str">
        <x:v>Coding</x:v>
      </x:c>
      <x:c r="C10" s="38" t="n">
        <x:v>46315</x:v>
      </x:c>
      <x:c r="D10" s="38" t="n">
        <x:v>46392</x:v>
      </x:c>
      <x:c r="G10" s="47" t="str">
        <x:v>■</x:v>
      </x:c>
      <x:c r="H10" s="47" t="str">
        <x:v>■</x:v>
      </x:c>
      <x:c r="I10" s="47" t="str">
        <x:v>■</x:v>
      </x:c>
      <x:c r="J10" s="47" t="str">
        <x:v>■</x:v>
      </x:c>
    </x:row>
    <x:row r="11">
      <x:c r="A11" s="37" t="str">
        <x:v>PG-02</x:v>
      </x:c>
      <x:c r="B11" s="37" t="str">
        <x:v>単体テスト</x:v>
      </x:c>
      <x:c r="C11" s="38" t="n">
        <x:v>46413</x:v>
      </x:c>
      <x:c r="D11" s="38" t="n">
        <x:v>46463</x:v>
      </x:c>
      <x:c r="J11" s="51" t="str">
        <x:v>■</x:v>
      </x:c>
      <x:c r="K11" s="51" t="str">
        <x:v>■</x:v>
      </x:c>
      <x:c r="L11" s="51" t="str">
        <x:v>■</x:v>
      </x:c>
    </x:row>
    <x:row r="12">
      <x:c r="A12" s="37" t="str">
        <x:v>PG-03</x:v>
      </x:c>
      <x:c r="B12" s="37" t="str">
        <x:v>詳細設計</x:v>
      </x:c>
      <x:c r="C12" s="38" t="n">
        <x:v>46247</x:v>
      </x:c>
      <x:c r="D12" s="38" t="n">
        <x:v>46304</x:v>
      </x:c>
      <x:c r="E12" s="44" t="str">
        <x:v>■</x:v>
      </x:c>
      <x:c r="F12" s="44" t="str">
        <x:v>■</x:v>
      </x:c>
      <x:c r="G12" s="44" t="str">
        <x:v>■</x:v>
      </x:c>
    </x:row>
    <x:row r="13">
      <x:c r="A13" s="37" t="str">
        <x:v>PG-03</x:v>
      </x:c>
      <x:c r="B13" s="37" t="str">
        <x:v>Coding</x:v>
      </x:c>
      <x:c r="C13" s="38" t="n">
        <x:v>46315</x:v>
      </x:c>
      <x:c r="D13" s="38" t="n">
        <x:v>46405</x:v>
      </x:c>
      <x:c r="G13" s="47" t="str">
        <x:v>■</x:v>
      </x:c>
      <x:c r="H13" s="47" t="str">
        <x:v>■</x:v>
      </x:c>
      <x:c r="I13" s="47" t="str">
        <x:v>■</x:v>
      </x:c>
      <x:c r="J13" s="47" t="str">
        <x:v>■</x:v>
      </x:c>
    </x:row>
    <x:row r="14">
      <x:c r="A14" s="37" t="str">
        <x:v>PG-03</x:v>
      </x:c>
      <x:c r="B14" s="37" t="str">
        <x:v>単体テスト</x:v>
      </x:c>
      <x:c r="C14" s="38" t="n">
        <x:v>46413</x:v>
      </x:c>
      <x:c r="D14" s="38" t="n">
        <x:v>46470</x:v>
      </x:c>
      <x:c r="J14" s="51" t="str">
        <x:v>■</x:v>
      </x:c>
      <x:c r="K14" s="51" t="str">
        <x:v>■</x:v>
      </x:c>
      <x:c r="L14" s="51" t="str">
        <x:v>■</x:v>
      </x:c>
    </x:row>
    <x:row r="15">
      <x:c r="A15" s="37" t="str">
        <x:v>PG-04</x:v>
      </x:c>
      <x:c r="B15" s="37" t="str">
        <x:v>詳細設計</x:v>
      </x:c>
      <x:c r="C15" s="38" t="n">
        <x:v>46247</x:v>
      </x:c>
      <x:c r="D15" s="38" t="n">
        <x:v>46302</x:v>
      </x:c>
      <x:c r="E15" s="44" t="str">
        <x:v>■</x:v>
      </x:c>
      <x:c r="F15" s="44" t="str">
        <x:v>■</x:v>
      </x:c>
      <x:c r="G15" s="44" t="str">
        <x:v>■</x:v>
      </x:c>
    </x:row>
    <x:row r="16">
      <x:c r="A16" s="37" t="str">
        <x:v>PG-04</x:v>
      </x:c>
      <x:c r="B16" s="37" t="str">
        <x:v>Coding</x:v>
      </x:c>
      <x:c r="C16" s="38" t="n">
        <x:v>46315</x:v>
      </x:c>
      <x:c r="D16" s="38" t="n">
        <x:v>46394</x:v>
      </x:c>
      <x:c r="G16" s="47" t="str">
        <x:v>■</x:v>
      </x:c>
      <x:c r="H16" s="47" t="str">
        <x:v>■</x:v>
      </x:c>
      <x:c r="I16" s="47" t="str">
        <x:v>■</x:v>
      </x:c>
      <x:c r="J16" s="47" t="str">
        <x:v>■</x:v>
      </x:c>
    </x:row>
    <x:row r="17">
      <x:c r="A17" s="37" t="str">
        <x:v>PG-04</x:v>
      </x:c>
      <x:c r="B17" s="37" t="str">
        <x:v>単体テスト</x:v>
      </x:c>
      <x:c r="C17" s="38" t="n">
        <x:v>46413</x:v>
      </x:c>
      <x:c r="D17" s="38" t="n">
        <x:v>46465</x:v>
      </x:c>
      <x:c r="J17" s="51" t="str">
        <x:v>■</x:v>
      </x:c>
      <x:c r="K17" s="51" t="str">
        <x:v>■</x:v>
      </x:c>
      <x:c r="L17" s="51" t="str">
        <x:v>■</x:v>
      </x:c>
    </x:row>
    <x:row r="18">
      <x:c r="A18" s="37" t="str">
        <x:v>PG-05</x:v>
      </x:c>
      <x:c r="B18" s="37" t="str">
        <x:v>詳細設計</x:v>
      </x:c>
      <x:c r="C18" s="38" t="n">
        <x:v>46247</x:v>
      </x:c>
      <x:c r="D18" s="38" t="n">
        <x:v>46302</x:v>
      </x:c>
      <x:c r="E18" s="44" t="str">
        <x:v>■</x:v>
      </x:c>
      <x:c r="F18" s="44" t="str">
        <x:v>■</x:v>
      </x:c>
      <x:c r="G18" s="44" t="str">
        <x:v>■</x:v>
      </x:c>
    </x:row>
    <x:row r="19">
      <x:c r="A19" s="37" t="str">
        <x:v>PG-05</x:v>
      </x:c>
      <x:c r="B19" s="37" t="str">
        <x:v>Coding</x:v>
      </x:c>
      <x:c r="C19" s="38" t="n">
        <x:v>46315</x:v>
      </x:c>
      <x:c r="D19" s="38" t="n">
        <x:v>46400</x:v>
      </x:c>
      <x:c r="G19" s="47" t="str">
        <x:v>■</x:v>
      </x:c>
      <x:c r="H19" s="47" t="str">
        <x:v>■</x:v>
      </x:c>
      <x:c r="I19" s="47" t="str">
        <x:v>■</x:v>
      </x:c>
      <x:c r="J19" s="47" t="str">
        <x:v>■</x:v>
      </x:c>
    </x:row>
    <x:row r="20">
      <x:c r="A20" s="37" t="str">
        <x:v>PG-05</x:v>
      </x:c>
      <x:c r="B20" s="37" t="str">
        <x:v>単体テスト</x:v>
      </x:c>
      <x:c r="C20" s="38" t="n">
        <x:v>46413</x:v>
      </x:c>
      <x:c r="D20" s="38" t="n">
        <x:v>46465</x:v>
      </x:c>
      <x:c r="J20" s="51" t="str">
        <x:v>■</x:v>
      </x:c>
      <x:c r="K20" s="51" t="str">
        <x:v>■</x:v>
      </x:c>
      <x:c r="L20" s="51" t="str">
        <x:v>■</x:v>
      </x:c>
    </x:row>
    <x:row r="21">
      <x:c r="A21" s="37" t="str">
        <x:v>Project Leader</x:v>
      </x:c>
      <x:c r="B21" s="37" t="str">
        <x:v>詳細設計Review Gate</x:v>
      </x:c>
      <x:c r="C21" s="38" t="n">
        <x:v>46308</x:v>
      </x:c>
      <x:c r="D21" s="38" t="n">
        <x:v>46314</x:v>
      </x:c>
      <x:c r="G21" s="44" t="str">
        <x:v>■</x:v>
      </x:c>
    </x:row>
    <x:row r="22">
      <x:c r="A22" s="37" t="str">
        <x:v>Project Leader</x:v>
      </x:c>
      <x:c r="B22" s="37" t="str">
        <x:v>Coding Review Gate</x:v>
      </x:c>
      <x:c r="C22" s="38" t="n">
        <x:v>46406</x:v>
      </x:c>
      <x:c r="D22" s="38" t="n">
        <x:v>46412</x:v>
      </x:c>
      <x:c r="J22" s="47" t="str">
        <x:v>■</x:v>
      </x:c>
    </x:row>
    <x:row r="23">
      <x:c r="A23" s="37" t="str">
        <x:v>全員</x:v>
      </x:c>
      <x:c r="B23" s="37" t="str">
        <x:v>結合テスト</x:v>
      </x:c>
      <x:c r="C23" s="38" t="n">
        <x:v>46471</x:v>
      </x:c>
      <x:c r="D23" s="38" t="n">
        <x:v>46498</x:v>
      </x:c>
      <x:c r="L23" s="55" t="str">
        <x:v>■</x:v>
      </x:c>
      <x:c r="M23" s="55" t="str">
        <x:v>■</x:v>
      </x:c>
    </x:row>
  </x:sheetData>
  <x:mergeCells>
    <x:mergeCell ref="A1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72" hidden="0" customWidth="1"/>
    <x:col min="4" max="4" width="18" hidden="0" customWidth="1"/>
    <x:col min="5" max="5" width="16" hidden="0" customWidth="1"/>
  </x:cols>
  <x:sheetData>
    <x:row r="1">
      <x:c r="A1" s="24" t="str">
        <x:v>Schedule運用ルール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8" t="str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6">
      <x:c r="A6" s="33" t="str">
        <x:v>No.</x:v>
      </x:c>
      <x:c r="B6" s="33" t="str">
        <x:v>Rule</x:v>
      </x:c>
      <x:c r="C6" s="33" t="str">
        <x:v>内容</x:v>
      </x:c>
      <x:c r="D6" s="33" t="str">
        <x:v>更新担当</x:v>
      </x:c>
      <x:c r="E6" s="33" t="str">
        <x:v>確認頻度</x:v>
      </x:c>
    </x:row>
    <x:row r="7">
      <x:c r="A7" s="37" t="n">
        <x:v>1</x:v>
      </x:c>
      <x:c r="B7" s="37" t="str">
        <x:v>Task更新</x:v>
      </x:c>
      <x:c r="C7" s="37" t="str">
        <x:v>担当PGは毎日、状態・進捗・実績開始/終了・備考を更新する</x:v>
      </x:c>
      <x:c r="D7" s="37" t="str">
        <x:v>各PG</x:v>
      </x:c>
      <x:c r="E7" s="37" t="str">
        <x:v>毎日</x:v>
      </x:c>
    </x:row>
    <x:row r="8">
      <x:c r="A8" s="37" t="n">
        <x:v>2</x:v>
      </x:c>
      <x:c r="B8" s="37" t="str">
        <x:v>Review待ち</x:v>
      </x:c>
      <x:c r="C8" s="37" t="str">
        <x:v>成果物Pathを登録してReview待ちへ変更。Project Leader承認後のみ完了へ変更</x:v>
      </x:c>
      <x:c r="D8" s="37" t="str">
        <x:v>各PG/PL</x:v>
      </x:c>
      <x:c r="E8" s="37" t="str">
        <x:v>随時</x:v>
      </x:c>
    </x:row>
    <x:row r="9">
      <x:c r="A9" s="37" t="n">
        <x:v>3</x:v>
      </x:c>
      <x:c r="B9" s="37" t="str">
        <x:v>遅延管理</x:v>
      </x:c>
      <x:c r="C9" s="37" t="str">
        <x:v>遅延判定が表示されたTaskは原因・回復策・影響を備考へ記載</x:v>
      </x:c>
      <x:c r="D9" s="37" t="str">
        <x:v>各PG</x:v>
      </x:c>
      <x:c r="E9" s="37" t="str">
        <x:v>Daily Meeting</x:v>
      </x:c>
    </x:row>
    <x:row r="10">
      <x:c r="A10" s="37" t="n">
        <x:v>4</x:v>
      </x:c>
      <x:c r="B10" s="37" t="str">
        <x:v>指摘修正</x:v>
      </x:c>
      <x:c r="C10" s="37" t="str">
        <x:v>Review指摘対応中は修正中。再Review完了までは次工程へ移行しない</x:v>
      </x:c>
      <x:c r="D10" s="37" t="str">
        <x:v>各PG/PL</x:v>
      </x:c>
      <x:c r="E10" s="37" t="str">
        <x:v>Review毎</x:v>
      </x:c>
    </x:row>
    <x:row r="11">
      <x:c r="A11" s="37" t="n">
        <x:v>5</x:v>
      </x:c>
      <x:c r="B11" s="37" t="str">
        <x:v>工程Gate</x:v>
      </x:c>
      <x:c r="C11" s="37" t="str">
        <x:v>工程Gate日は全員の成果物承認状況を確認し、未完了があれば開始判定を延期</x:v>
      </x:c>
      <x:c r="D11" s="37" t="str">
        <x:v>Project Leader</x:v>
      </x:c>
      <x:c r="E11" s="37" t="str">
        <x:v>工程末</x:v>
      </x:c>
    </x:row>
    <x:row r="12">
      <x:c r="A12" s="37" t="n">
        <x:v>6</x:v>
      </x:c>
      <x:c r="B12" s="37" t="str">
        <x:v>実績工数</x:v>
      </x:c>
      <x:c r="C12" s="37" t="str">
        <x:v>作成・Review対応・再Testを含む実績工数を別途勤怠/工数管理へ登録</x:v>
      </x:c>
      <x:c r="D12" s="37" t="str">
        <x:v>各PG</x:v>
      </x:c>
      <x:c r="E12" s="37" t="str">
        <x:v>毎日</x:v>
      </x:c>
    </x:row>
    <x:row r="13">
      <x:c r="A13" s="37" t="n">
        <x:v>7</x:v>
      </x:c>
      <x:c r="B13" s="37" t="str">
        <x:v>Baseline変更</x:v>
      </x:c>
      <x:c r="C13" s="37" t="str">
        <x:v>基本設計変更時は影響WP、Task、日程を特定し、Leader承認後にSchedule更新</x:v>
      </x:c>
      <x:c r="D13" s="37" t="str">
        <x:v>Project Leader</x:v>
      </x:c>
      <x:c r="E13" s="37" t="str">
        <x:v>変更毎</x:v>
      </x:c>
    </x:row>
  </x:sheetData>
  <x:mergeCells>
    <x:mergeCell ref="A1:N2"/>
    <x:mergeCell ref="A3:N3"/>
  </x:mergeCells>
  <x:pageMargins left="0.7" right="0.7" top="0.75" bottom="0.75" header="0.3" footer="0.3"/>
</x:worksheet>
</file>